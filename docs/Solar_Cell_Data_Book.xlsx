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ference_Registry" sheetId="2" state="visible" r:id="rId4"/>
    <sheet name="Physical_Constants" sheetId="3" state="visible" r:id="rId5"/>
    <sheet name="Materials_Perovskite" sheetId="4" state="visible" r:id="rId6"/>
    <sheet name="Silicon_Presets" sheetId="5" state="visible" r:id="rId7"/>
    <sheet name="Organic_Presets" sheetId="6" state="visible" r:id="rId8"/>
    <sheet name="Tandem_Grades" sheetId="7" state="visible" r:id="rId9"/>
    <sheet name="Benchmarks_Experimental" sheetId="8" state="visible" r:id="rId10"/>
    <sheet name="CrossTool_Checks" sheetId="9" state="visible" r:id="rId11"/>
    <sheet name="SCAPS_Suite" sheetId="10" state="visible" r:id="rId12"/>
    <sheet name="Tutorial_Assertions" sheetId="11" state="visible" r:id="rId13"/>
    <sheet name="TMM_nk_Data" sheetId="12" state="visible" r:id="rId14"/>
    <sheet name="JV_Curv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<sst xmlns="http://schemas.openxmlformats.org/spreadsheetml/2006/main" count="1218" uniqueCount="715">
  <si>
    <t xml:space="preserve">Solar Cell Design &amp; Optimization Tool v4.0 rev B — Complete Data Book</t>
  </si>
  <si>
    <t xml:space="preserve">Every parameter, benchmark and result with citation, DOI and verification status. Generated from the repository's machine-readable registries and live engines.</t>
  </si>
  <si>
    <t xml:space="preserve">Sheet index</t>
  </si>
  <si>
    <t xml:space="preserve">Sheet</t>
  </si>
  <si>
    <t xml:space="preserve">Contents</t>
  </si>
  <si>
    <t xml:space="preserve">Reference_Registry</t>
  </si>
  <si>
    <t xml:space="preserve">All 37 model/benchmark references + material-database references; DOI, usage, confidence tier, verification status</t>
  </si>
  <si>
    <t xml:space="preserve">Physical_Constants</t>
  </si>
  <si>
    <t xml:space="preserve">CODATA constants and model constants (Richter coefficients, ni_eff) with sources</t>
  </si>
  <si>
    <t xml:space="preserve">Materials_Perovskite</t>
  </si>
  <si>
    <t xml:space="preserve">Perovskite/CdTe absorbers, ETLs, HTLs — full parameter sets with per-material references</t>
  </si>
  <si>
    <t xml:space="preserve">Silicon_Presets</t>
  </si>
  <si>
    <t xml:space="preserve">Five c-Si architectures: parameters, certified targets, live model results, error formulas, DOIs</t>
  </si>
  <si>
    <t xml:space="preserve">Organic_Presets</t>
  </si>
  <si>
    <t xml:space="preserve">Six BHJ blends: parameters, certified targets, live model results, error formulas, DOIs</t>
  </si>
  <si>
    <t xml:space="preserve">Tandem_Grades</t>
  </si>
  <si>
    <t xml:space="preserve">2020/2023/2025 perovskite-Si grades: parameters, certified lineage, model results, errors</t>
  </si>
  <si>
    <t xml:space="preserve">Benchmarks_Experimental</t>
  </si>
  <si>
    <t xml:space="preserve">The 14-device certified suite (validation_multi_tech.json) with formula-computed errors and PASS flags</t>
  </si>
  <si>
    <t xml:space="preserve">CrossTool_Checks</t>
  </si>
  <si>
    <t xml:space="preserve">The 9-check SCAPS-1D / Lumerical-class / redundancy suite (validation_cross_tool.json)</t>
  </si>
  <si>
    <t xml:space="preserve">SCAPS_Suite</t>
  </si>
  <si>
    <t xml:space="preserve">10 published-SCAPS replication devices (Voc/Jsc/FF/PCE, ours vs published, DOI per device)</t>
  </si>
  <si>
    <t xml:space="preserve">Tutorial_Assertions</t>
  </si>
  <si>
    <t xml:space="preserve">22 hand-solved mathematical examples asserted against the live engines</t>
  </si>
  <si>
    <t xml:space="preserve">TMM_nk_Data</t>
  </si>
  <si>
    <t xml:space="preserve">Complex refractive-index tables used by the transfer-matrix optical solver, with sources</t>
  </si>
  <si>
    <t xml:space="preserve">JV_Curves</t>
  </si>
  <si>
    <t xml:space="preserve">Live simulated J-V data for all four technologies + chart</t>
  </si>
  <si>
    <t xml:space="preserve">Live summary (formulas)</t>
  </si>
  <si>
    <t xml:space="preserve">Experimental benchmarks passing</t>
  </si>
  <si>
    <t xml:space="preserve">Mean |PCE error| (experimental)</t>
  </si>
  <si>
    <t xml:space="preserve">Max |PCE error| (experimental)</t>
  </si>
  <si>
    <t xml:space="preserve">Cross-tool checks passing</t>
  </si>
  <si>
    <t xml:space="preserve">Tutorial assertions passing</t>
  </si>
  <si>
    <t xml:space="preserve">SCAPS-suite mean |PCE error|</t>
  </si>
  <si>
    <t xml:space="preserve">References verified (registry)</t>
  </si>
  <si>
    <t xml:space="preserve">Legend</t>
  </si>
  <si>
    <t xml:space="preserve">Blue text = hardcoded model/preset inputs (sourced; see reference column).</t>
  </si>
  <si>
    <t xml:space="preserve">Black = formulas computed in-sheet (errors, pass flags, sums) — the workbook recalculates if you edit inputs.</t>
  </si>
  <si>
    <t xml:space="preserve">Every DOI column has a clickable resolver link; 'Verified' = citation cross-checked against the Consensus academic index in an audited build.</t>
  </si>
  <si>
    <t xml:space="preserve">Reproduce any results sheet: run the named script in scripts/ — this workbook was generated from those artifacts and the live engines.</t>
  </si>
  <si>
    <t xml:space="preserve">Reference Registry — every citation in the tool</t>
  </si>
  <si>
    <t xml:space="preserve">Sources: data/multi_technology_database.json (v4 registry) + data/materials_database.json (_references). 'Verified' = cross-checked against the Consensus academic index (audited builds incl. this data-book build: Green 2008 and Koster 2005 verified today).</t>
  </si>
  <si>
    <t xml:space="preserve">Key</t>
  </si>
  <si>
    <t xml:space="preserve">Citation</t>
  </si>
  <si>
    <t xml:space="preserve">DOI</t>
  </si>
  <si>
    <t xml:space="preserve">Resolver</t>
  </si>
  <si>
    <t xml:space="preserve">Used for</t>
  </si>
  <si>
    <t xml:space="preserve">Confidence</t>
  </si>
  <si>
    <t xml:space="preserve">Verified</t>
  </si>
  <si>
    <t xml:space="preserve">Registry</t>
  </si>
  <si>
    <t xml:space="preserve">richter_2012_prb</t>
  </si>
  <si>
    <t xml:space="preserve">A. Richter, S. W. Glunz, F. Werner, J. Schmidt, A. Cuevas, 'Improved quantitative description of Auger recombination in crystalline silicon', Phys. Rev. B 86, 165202 (2012)</t>
  </si>
  <si>
    <t xml:space="preserve">10.1103/PhysRevB.86.165202</t>
  </si>
  <si>
    <t xml:space="preserve">Intrinsic Auger + radiative recombination parameterization in physics/silicon.py</t>
  </si>
  <si>
    <t xml:space="preserve">HIGH</t>
  </si>
  <si>
    <t xml:space="preserve">YES</t>
  </si>
  <si>
    <t xml:space="preserve">multi-technology v4</t>
  </si>
  <si>
    <t xml:space="preserve">niewelt_2022_solmat</t>
  </si>
  <si>
    <t xml:space="preserve">T. Niewelt et al., 'Reassessment of the intrinsic bulk recombination in crystalline silicon', Sol. Energy Mater. Sol. Cells 235, 111467 (2022)</t>
  </si>
  <si>
    <t xml:space="preserve">10.1016/j.solmat.2021.111467</t>
  </si>
  <si>
    <t xml:space="preserve">Alternative intrinsic recombination model (auger_model='niewelt2022'); 29.4% c-Si single-junction limit</t>
  </si>
  <si>
    <t xml:space="preserve">kerr_2002_jap</t>
  </si>
  <si>
    <t xml:space="preserve">M. J. Kerr, A. Cuevas, 'General parameterization of Auger recombination in crystalline silicon', J. Appl. Phys. 91, 2473 (2002)</t>
  </si>
  <si>
    <t xml:space="preserve">10.1063/1.1432476</t>
  </si>
  <si>
    <t xml:space="preserve">Implied-Voc / lifetime methodology; historical Auger parameterization</t>
  </si>
  <si>
    <t xml:space="preserve">green_2008_solmat</t>
  </si>
  <si>
    <t xml:space="preserve">M. A. Green, 'Self-consistent optical parameters of intrinsic silicon at 300 K including temperature coefficients', Sol. Energy Mater. Sol. Cells 92, 1305 (2008)</t>
  </si>
  <si>
    <t xml:space="preserve">10.1016/j.solmat.2008.06.009</t>
  </si>
  <si>
    <t xml:space="preserve">c-Si absorption coefficient table alpha(lambda) in physics/silicon.py</t>
  </si>
  <si>
    <t xml:space="preserve">tiedje_1984_ted</t>
  </si>
  <si>
    <t xml:space="preserve">T. Tiedje, E. Yablonovitch, G. D. Cody, B. G. Brooks, 'Limiting efficiency of silicon solar cells', IEEE Trans. Electron Devices 31, 711 (1984)</t>
  </si>
  <si>
    <t xml:space="preserve">10.1109/T-ED.1984.21594</t>
  </si>
  <si>
    <t xml:space="preserve">Lambertian light-trapping absorptance A = alpha/(alpha + 1/(4 n^2 W))</t>
  </si>
  <si>
    <t xml:space="preserve">MEDIUM</t>
  </si>
  <si>
    <t xml:space="preserve">—</t>
  </si>
  <si>
    <t xml:space="preserve">altermatt_2003_jap</t>
  </si>
  <si>
    <t xml:space="preserve">P. P. Altermatt, A. Schenk, F. Geelhaar, G. Heiser, 'Reassessment of the intrinsic carrier density in crystalline silicon in view of band-gap narrowing', J. Appl. Phys. 93, 1598 (2003)</t>
  </si>
  <si>
    <t xml:space="preserve">10.1063/1.1529297</t>
  </si>
  <si>
    <t xml:space="preserve">ni_eff = 9.65e9 cm^-3 at 300 K</t>
  </si>
  <si>
    <t xml:space="preserve">green_1981_sse</t>
  </si>
  <si>
    <t xml:space="preserve">M. A. Green, 'Solar cell fill factors: General graph and empirical expressions', Solid-State Electron. 24, 788 (1981)</t>
  </si>
  <si>
    <t xml:space="preserve">10.1016/0038-1101(81)90062-9</t>
  </si>
  <si>
    <t xml:space="preserve">Empirical FF0(voc) expression</t>
  </si>
  <si>
    <t xml:space="preserve">yoshikawa_2017_natenergy</t>
  </si>
  <si>
    <t xml:space="preserve">K. Yoshikawa et al., 'Silicon heterojunction solar cell with interdigitated back contacts for a photoconversion efficiency over 26%', Nat. Energy 2, 17032 (2017)</t>
  </si>
  <si>
    <t xml:space="preserve">10.1038/nenergy.2017.32</t>
  </si>
  <si>
    <t xml:space="preserve">SHJ-IBC preset benchmark (26.3%; improved to 26.6-26.7% in the companion paper)</t>
  </si>
  <si>
    <t xml:space="preserve">yoshikawa_2017_solmat</t>
  </si>
  <si>
    <t xml:space="preserve">K. Yoshikawa et al., 'Exceeding conversion efficiency of 26% by heterojunction interdigitated back contact solar cell with thin film Si technology', Sol. Energy Mater. Sol. Cells 173, 37 (2017)</t>
  </si>
  <si>
    <t xml:space="preserve">10.1016/j.solmat.2017.06.024</t>
  </si>
  <si>
    <t xml:space="preserve">26.6% certified SHJ-IBC device (Fraunhofer ISE CalLab)</t>
  </si>
  <si>
    <t xml:space="preserve">lin_2023_natenergy</t>
  </si>
  <si>
    <t xml:space="preserve">H. Lin et al., 'Silicon heterojunction solar cells with up to 26.81% efficiency achieved by electrically optimized nanocrystalline-silicon hole contact layers', Nat. Energy 8, 789 (2023)</t>
  </si>
  <si>
    <t xml:space="preserve">10.1038/s41560-023-01255-2</t>
  </si>
  <si>
    <t xml:space="preserve">SHJ both-side preset benchmark (26.81%, Voc 751.4 mV, FF up to 86.59%)</t>
  </si>
  <si>
    <t xml:space="preserve">richter_2021_natenergy</t>
  </si>
  <si>
    <t xml:space="preserve">A. Richter et al., 'Design rules for high-efficiency both-sides-contacted silicon solar cells with balanced charge carrier transport and recombination losses', Nat. Energy 6, 429 (2021)</t>
  </si>
  <si>
    <t xml:space="preserve">10.1038/s41560-021-00805-w</t>
  </si>
  <si>
    <t xml:space="preserve">TOPCon back-junction preset benchmark (26.0%)</t>
  </si>
  <si>
    <t xml:space="preserve">wang_2024_natcomm</t>
  </si>
  <si>
    <t xml:space="preserve">G. Wang et al., '27.09%-efficiency silicon heterojunction back contact solar cell and going beyond', Nat. Commun. 15 (2024)</t>
  </si>
  <si>
    <t xml:space="preserve">10.1038/s41467-024-47455-6</t>
  </si>
  <si>
    <t xml:space="preserve">Context: current certified HBC frontier for c-Si</t>
  </si>
  <si>
    <t xml:space="preserve">green_2021_tables57</t>
  </si>
  <si>
    <t xml:space="preserve">M. A. Green, E. D. Dunlop, J. Hohl-Ebinger, M. Yoshita, N. Kopidakis, X. Hao, 'Solar cell efficiency tables (version 57)', Prog. Photovolt. Res. Appl. 29, 3 (2021)</t>
  </si>
  <si>
    <t xml:space="preserve">10.1002/pip.3371</t>
  </si>
  <si>
    <t xml:space="preserve">PERC (24.06% LONGi record class) and Al-BSF representative presets; cross-technology record context</t>
  </si>
  <si>
    <t xml:space="preserve">yuan_2019_joule</t>
  </si>
  <si>
    <t xml:space="preserve">J. Yuan et al., 'Single-Junction Organic Solar Cell with over 15% Efficiency Using Fused-Ring Acceptor with Electron-Deficient Core', Joule 3, 1140 (2019)</t>
  </si>
  <si>
    <t xml:space="preserve">10.1016/j.joule.2019.01.004</t>
  </si>
  <si>
    <t xml:space="preserve">PM6:Y6 preset benchmark (15.7%; Voc 0.83 V, Jsc 25.3 mA/cm2, FF 74.8%) and 300 nm thickness roll-off (13.6%)</t>
  </si>
  <si>
    <t xml:space="preserve">li_2021_natenergy</t>
  </si>
  <si>
    <t xml:space="preserve">C. Li et al., 'Non-fullerene acceptors with branched side chains and improved molecular packing to exceed 18% efficiency in organic solar cells', Nat. Energy 6, 605 (2021)</t>
  </si>
  <si>
    <t xml:space="preserve">10.1038/s41560-021-00820-x</t>
  </si>
  <si>
    <t xml:space="preserve">PM6:L8-BO preset benchmark (18.32%, certified 17.9%, FF 81.5%)</t>
  </si>
  <si>
    <t xml:space="preserve">cui_2021_advmater</t>
  </si>
  <si>
    <t xml:space="preserve">Y. Cui et al., 'Single-Junction Organic Photovoltaic Cell with 19% Efficiency', Adv. Mater. 33, 2102420 (2021)</t>
  </si>
  <si>
    <t xml:space="preserve">10.1002/adma.202102420</t>
  </si>
  <si>
    <t xml:space="preserve">PBQx-TF:eC9-2Cl:F-BTA3 preset benchmark (19.0%, certified 18.7%)</t>
  </si>
  <si>
    <t xml:space="preserve">li_2025_natmater</t>
  </si>
  <si>
    <t xml:space="preserve">C. Li et al., 'Non-fullerene acceptors with high crystallinity and photoluminescence quantum yield enable &gt;20% efficiency organic solar cells', Nat. Mater. 24 (2025)</t>
  </si>
  <si>
    <t xml:space="preserve">10.1038/s41563-024-02087-5</t>
  </si>
  <si>
    <t xml:space="preserve">PM6:L8-BO-C4 preset benchmark (20.42%, certified 20.1%; Voc 0.894 V, FF 81.6%)</t>
  </si>
  <si>
    <t xml:space="preserve">koster_2005_prb</t>
  </si>
  <si>
    <t xml:space="preserve">L. J. A. Koster, E. C. P. Smits, V. D. Mihailetchi, P. W. M. Blom, 'Device model for the operation of polymer/fullerene bulk heterojunction solar cells', Phys. Rev. B 72, 085205 (2005)</t>
  </si>
  <si>
    <t xml:space="preserve">10.1103/PhysRevB.72.085205</t>
  </si>
  <si>
    <t xml:space="preserve">BHJ drift-collection / recombination competition picture; P3HT:PCBM baseline</t>
  </si>
  <si>
    <t xml:space="preserve">scharber_2006_advmater</t>
  </si>
  <si>
    <t xml:space="preserve">M. C. Scharber et al., 'Design Rules for Donors in Bulk-Heterojunction Solar Cells — Towards 10% Energy-Conversion Efficiency', Adv. Mater. 18, 789 (2006)</t>
  </si>
  <si>
    <t xml:space="preserve">10.1002/adma.200501717</t>
  </si>
  <si>
    <t xml:space="preserve">Voc = (Eg - E_loss)/q energy-loss formulation</t>
  </si>
  <si>
    <t xml:space="preserve">alashouri_2020_science</t>
  </si>
  <si>
    <t xml:space="preserve">A. Al-Ashouri et al., 'Monolithic perovskite/silicon tandem solar cell with &gt;29% efficiency by enhanced hole extraction', Science 370, 1300 (2020)</t>
  </si>
  <si>
    <t xml:space="preserve">10.1126/science.abd4016</t>
  </si>
  <si>
    <t xml:space="preserve">2020-grade tandem benchmark (29.15% certified; Voc 1.92 V, 1.68 eV top cell)</t>
  </si>
  <si>
    <t xml:space="preserve">chin_2023_science</t>
  </si>
  <si>
    <t xml:space="preserve">X. Y. Chin et al., 'Interface passivation for 31.25%-efficient perovskite/silicon tandem solar cells', Science 381, 59 (2023)</t>
  </si>
  <si>
    <t xml:space="preserve">10.1126/science.adg0091</t>
  </si>
  <si>
    <t xml:space="preserve">2023-grade tandem benchmark (31.25% certified, textured Si)</t>
  </si>
  <si>
    <t xml:space="preserve">mariotti_2023_science</t>
  </si>
  <si>
    <t xml:space="preserve">S. Mariotti et al., 'Interface engineering for high-performance, triple-halide perovskite-silicon tandem solar cells', Science 381, 63 (2023)</t>
  </si>
  <si>
    <t xml:space="preserve">10.1126/science.adf5872</t>
  </si>
  <si>
    <t xml:space="preserve">2023-grade tandem benchmark upper bound (32.5% certified, Voc 2.00 V)</t>
  </si>
  <si>
    <t xml:space="preserve">jia_2025_nature</t>
  </si>
  <si>
    <t xml:space="preserve">L. Jia et al., 'Efficient perovskite/silicon tandem with asymmetric self-assembly molecule', Nature 644, 912 (2025)</t>
  </si>
  <si>
    <t xml:space="preserve">10.1038/s41586-025-09333-z</t>
  </si>
  <si>
    <t xml:space="preserve">2025-grade tandem benchmark (34.58% certified, LONGi/Soochow; Voc ~2 V)</t>
  </si>
  <si>
    <t xml:space="preserve">he_2023_nature</t>
  </si>
  <si>
    <t xml:space="preserve">R. He et al., 'Improving interface quality for 1-cm2 all-perovskite tandem solar cells', Nature 618, 80 (2023)</t>
  </si>
  <si>
    <t xml:space="preserve">10.1038/s41586-023-05992-y</t>
  </si>
  <si>
    <t xml:space="preserve">All-perovskite tandem context (27.0%, certified 26.4%, Voc 2.12 V)</t>
  </si>
  <si>
    <t xml:space="preserve">masuko_2014_jpv</t>
  </si>
  <si>
    <t xml:space="preserve">K. Masuko et al., 'Achievement of More Than 25% Conversion Efficiency With Crystalline Silicon Heterojunction Solar Cell', IEEE J. Photovolt. 4, 1433 (2014)</t>
  </si>
  <si>
    <t xml:space="preserve">10.1109/JPHOTOV.2014.2352151</t>
  </si>
  <si>
    <t xml:space="preserve">SHJ-IBC lineage context (25.6% Panasonic)</t>
  </si>
  <si>
    <t xml:space="preserve">shockley_1961_jap</t>
  </si>
  <si>
    <t xml:space="preserve">W. Shockley, H. J. Queisser, 'Detailed Balance Limit of Efficiency of p-n Junction Solar Cells', J. Appl. Phys. 32, 510 (1961)</t>
  </si>
  <si>
    <t xml:space="preserve">10.1063/1.1736034</t>
  </si>
  <si>
    <t xml:space="preserve">Detailed-balance context for all technologies</t>
  </si>
  <si>
    <t xml:space="preserve">pettersson_1999_jap</t>
  </si>
  <si>
    <t xml:space="preserve">L. A. A. Pettersson, L. S. Roman, O. Inganäs, 'Modeling photocurrent action spectra of photovoltaic devices based on organic thin films', J. Appl. Phys. 86, 487 (1999)</t>
  </si>
  <si>
    <t xml:space="preserve">10.1063/1.370757</t>
  </si>
  <si>
    <t xml:space="preserve">Transfer-matrix formalism in physics/tmm.py</t>
  </si>
  <si>
    <t xml:space="preserve">burkhard_2010_advmater</t>
  </si>
  <si>
    <t xml:space="preserve">G. F. Burkhard, E. T. Hoke, M. D. McGehee, 'Accounting for Interference, Scattering, and Electrode Absorption to Make Accurate Internal Quantum Efficiency Measurements in Organic and Other Thin Solar Cells', Adv. Mater. 22, 3293 (2010)</t>
  </si>
  <si>
    <t xml:space="preserve">10.1002/adma.201000883</t>
  </si>
  <si>
    <t xml:space="preserve">TMM implementation style (Stanford/McGehee script); ITO/PEDOT optical constants</t>
  </si>
  <si>
    <t xml:space="preserve">sievers_2006_jap</t>
  </si>
  <si>
    <t xml:space="preserve">D. W. Sievers, V. Shrotriya, Y. Yang, 'Modeling optical effects and thickness dependent current in polymer bulk-heterojunction solar cells', J. Appl. Phys. 100, 114509 (2006)</t>
  </si>
  <si>
    <t xml:space="preserve">10.1063/1.2388854</t>
  </si>
  <si>
    <t xml:space="preserve">Published oscillatory Jsc(L) benchmark for P3HT-class blends</t>
  </si>
  <si>
    <t xml:space="preserve">kotlarski_2008_jap</t>
  </si>
  <si>
    <t xml:space="preserve">J. D. Kotlarski, P. W. M. Blom, L. J. A. Koster, M. Lenes, L. H. Slooff, 'Combined optical and electrical modeling of polymer:fullerene bulk heterojunction solar cells', J. Appl. Phys. 103, 084502 (2008)</t>
  </si>
  <si>
    <t xml:space="preserve">10.1063/1.2905243</t>
  </si>
  <si>
    <t xml:space="preserve">Coupled optical-electrical benchmark; interference above 250 nm thickness</t>
  </si>
  <si>
    <t xml:space="preserve">monestier_2007_solmat</t>
  </si>
  <si>
    <t xml:space="preserve">F. Monestier et al., 'Modeling the short-circuit current density of polymer solar cells based on P3HT:PCBM blend', Sol. Energy Mater. Sol. Cells 91, 405 (2007)</t>
  </si>
  <si>
    <t xml:space="preserve">10.1016/j.solmat.2006.10.019</t>
  </si>
  <si>
    <t xml:space="preserve">P3HT:PCBM complex refractive index; Jsc(L) interference benchmark</t>
  </si>
  <si>
    <t xml:space="preserve">rosa_2021_solener</t>
  </si>
  <si>
    <t xml:space="preserve">E. H. S. Rosa et al., 'Simulation of organic solar cells power conversion efficiency', Sol. Energy 221 (2021)</t>
  </si>
  <si>
    <t xml:space="preserve">10.1016/j.solener.2021.04.041</t>
  </si>
  <si>
    <t xml:space="preserve">Published TMM-vs-experiment accuracy band (~16% average) contextualizing this tool's &lt;=5% deviations</t>
  </si>
  <si>
    <t xml:space="preserve">im_2023_molecules</t>
  </si>
  <si>
    <t xml:space="preserve">C. Im et al., 'Spatial Balance of Photogenerated Charge Carriers in Active Layers of Polymer Solar Cells', Molecules 28, 2985 (2023)</t>
  </si>
  <si>
    <t xml:space="preserve">10.3390/molecules28072985</t>
  </si>
  <si>
    <t xml:space="preserve">NFA-blend TMM thickness study: PCE maximum near ~100 nm</t>
  </si>
  <si>
    <t xml:space="preserve">kerremans_2020_aom</t>
  </si>
  <si>
    <t xml:space="preserve">R. Kerremans et al., 'The Optical Constants of Solution-Processed Semiconductors — New Challenges with Perovskites and Non-Fullerene Acceptors', Adv. Opt. Mater. 8, 2000319 (2020)</t>
  </si>
  <si>
    <t xml:space="preserve">10.1002/adom.202000319</t>
  </si>
  <si>
    <t xml:space="preserve">PM6:Y6 complex refractive index (batch spread +/-10-15%)</t>
  </si>
  <si>
    <t xml:space="preserve">rakic_1995_ao</t>
  </si>
  <si>
    <t xml:space="preserve">A. D. Rakic, 'Algorithm for the determination of intrinsic optical constants of metal films: application to aluminum', Appl. Opt. 34, 4755 (1995)</t>
  </si>
  <si>
    <t xml:space="preserve">10.1364/AO.34.004755</t>
  </si>
  <si>
    <t xml:space="preserve">Al optical constants</t>
  </si>
  <si>
    <t xml:space="preserve">johnson_1972_prb</t>
  </si>
  <si>
    <t xml:space="preserve">P. B. Johnson, R. W. Christy, 'Optical Constants of the Noble Metals', Phys. Rev. B 6, 4370 (1972)</t>
  </si>
  <si>
    <t xml:space="preserve">10.1103/PhysRevB.6.4370</t>
  </si>
  <si>
    <t xml:space="preserve">Ag optical constants</t>
  </si>
  <si>
    <t xml:space="preserve">burgelman_2000_tsf</t>
  </si>
  <si>
    <t xml:space="preserve">M. Burgelman, P. Nollet, S. Degrave, 'Modelling polycrystalline semiconductor solar cells', Thin Solid Films 361-362, 527 (2000)</t>
  </si>
  <si>
    <t xml:space="preserve">10.1016/S0040-6090(99)00825-1</t>
  </si>
  <si>
    <t xml:space="preserve">SCAPS-1D — the incumbent this tool imports from / exports to</t>
  </si>
  <si>
    <t xml:space="preserve">sahli_2018_natmater</t>
  </si>
  <si>
    <t xml:space="preserve">Sahli, F. et al., Fully textured monolithic perovskite/silicon tandem solar cells with 25.2% power conversion efficiency, Nature Materials 17, 820-826 (2018)</t>
  </si>
  <si>
    <t xml:space="preserve">10.1038/s41563-018-0115-4</t>
  </si>
  <si>
    <t xml:space="preserve">nc-Si:H recombination-junction interconnect option in the tandem layer library (textured-compatible junction; certified 25.2% device)</t>
  </si>
  <si>
    <t xml:space="preserve">richardson_2016_ees</t>
  </si>
  <si>
    <t xml:space="preserve">Richardson, G. et al., Can slow-moving ions explain hysteresis in the current-voltage curves of perovskite solar cells?, Energy &amp; Environmental Science 9, 1476-1485 (2016)</t>
  </si>
  <si>
    <t xml:space="preserve">10.1039/C5EE02740C</t>
  </si>
  <si>
    <t xml:space="preserve">Reduced-order scan-rate hysteresis model (utils/stability.py): ionic-drift origin of hysteresis, vanishing at fast and slow scan-rate limits with a peak at intermediate rates</t>
  </si>
  <si>
    <t xml:space="preserve">khenkin_2020_natenergy</t>
  </si>
  <si>
    <t xml:space="preserve">Khenkin, M. V. et al., Consensus statement for stability assessment and reporting for perovskite photovoltaics based on ISOS procedures, Nature Energy 5, 35-49 (2020)</t>
  </si>
  <si>
    <t xml:space="preserve">10.1038/s41560-019-0529-5</t>
  </si>
  <si>
    <t xml:space="preserve">T80 lifetime metric and ISOS stability-protocol conventions behind the Arrhenius lifetime-projection tool (utils/stability.py)</t>
  </si>
  <si>
    <t xml:space="preserve">skoplaki_2009_solen</t>
  </si>
  <si>
    <t xml:space="preserve">Skoplaki, E. &amp; Palyvos, J. A., On the temperature dependence of photovoltaic module electrical performance: A review of efficiency/power correlations, Solar Energy 83, 614-624 (2009)</t>
  </si>
  <si>
    <t xml:space="preserve">10.1016/j.solener.2008.10.008</t>
  </si>
  <si>
    <t xml:space="preserve">NOCT cell-temperature model and linear power-temperature correlation class used by the all-technology energy-yield estimator (utils/energy_yield.py)</t>
  </si>
  <si>
    <t xml:space="preserve">steiner_2012_apl</t>
  </si>
  <si>
    <t xml:space="preserve">Steiner, M. A. &amp; Geisz, J. F., Non-linear luminescent coupling in series-connected multijunction solar cells, Applied Physics Letters 101, 073912 (2012)</t>
  </si>
  <si>
    <t xml:space="preserve">10.1063/1.4753823</t>
  </si>
  <si>
    <t xml:space="preserve">Luminescent-coupling formulation in physics/tandem.py: coupled current proportional to the luminescent junction's excess recombination (J_gen - J)</t>
  </si>
  <si>
    <t xml:space="preserve">jager_2020_solrrl</t>
  </si>
  <si>
    <t xml:space="preserve">Jaeger, K. et al., Perovskite/Silicon Tandem Solar Cells: Effect of Luminescent Coupling and Bifaciality, Solar RRL 5, 2000628 (2020)</t>
  </si>
  <si>
    <t xml:space="preserve">10.1002/solr.202000628</t>
  </si>
  <si>
    <t xml:space="preserve">Magnitude anchor for tandem luminescent coupling (&gt;50% of excess top-cell pairs usable by the silicon bottom cell) and energy-yield-with-LC context</t>
  </si>
  <si>
    <t xml:space="preserve">jain_2004_solmat</t>
  </si>
  <si>
    <t xml:space="preserve">Jain, A. &amp; Kapoor, A., Exact analytical solutions of the parameters of real solar cells using Lambert W-function, Solar Energy Materials and Solar Cells 81, 269-277 (2004)</t>
  </si>
  <si>
    <t xml:space="preserve">10.1016/j.solmat.2003.11.018</t>
  </si>
  <si>
    <t xml:space="preserve">Exact Lambert-W closed form of the single-diode J-V model used by the measurement-fitting workflow (utils/measurement_fit.py)</t>
  </si>
  <si>
    <t xml:space="preserve">stranks_2013</t>
  </si>
  <si>
    <t xml:space="preserve">Stranks et al., Science 342, 341 (2013)</t>
  </si>
  <si>
    <t xml:space="preserve">10.1126/science.1243982</t>
  </si>
  <si>
    <t xml:space="preserve">materials DB v2/v3</t>
  </si>
  <si>
    <t xml:space="preserve">chung_2012_jacs_cssni3</t>
  </si>
  <si>
    <t xml:space="preserve">Chung, Song, Im, Androulakis, Malliakas, Li, Freeman, Kenney, Kanatzidis, J. Am. Chem. Soc. 134, 8579-8587 (2012). CsSnI3: Semiconductor or Metal? Hall measurements gave hole mobility ~58 cm^2/Vs, carrier density ~10^17 cm^-3.</t>
  </si>
  <si>
    <t xml:space="preserve">10.1021/ja301539s</t>
  </si>
  <si>
    <t xml:space="preserve">euvrard_2021_nrm</t>
  </si>
  <si>
    <t xml:space="preserve">Euvrard, Yan, Mitzi, Nature Reviews Materials (2021). Electrical doping in halide perovskites. Reports MAPbI3 and MAPbBr3 typical doping &lt;10^14 cm^-3 from multiple measurement methods.</t>
  </si>
  <si>
    <t xml:space="preserve">10.1038/s41578-021-00388-8</t>
  </si>
  <si>
    <t xml:space="preserve">saidaminov_2015_natcomm_mapbbr3</t>
  </si>
  <si>
    <t xml:space="preserve">Saidaminov et al., Nat. Commun. 6, 7586 (2015). High-quality bulk hybrid perovskite single crystals within minutes by inverse temperature crystallization. Reports MAPbBr3 single-crystal trap density 5.8e9 cm^-3 by SCLC.</t>
  </si>
  <si>
    <t xml:space="preserve">10.1038/ncomms8586</t>
  </si>
  <si>
    <t xml:space="preserve">magomedov_2018_aem_sam</t>
  </si>
  <si>
    <t xml:space="preserve">Magomedov, Al-Ashouri, Kasparavicius, Strazdaite, Niaura, Jost, Malinauskas, Albrecht, Getautis, Adv. Energy Mater. 8, 1801892 (2018). Self-assembled hole-transporting monolayer; PCE 17.8%. SAM thickness ~1 nm — bulk transport parameters are not well-defined.</t>
  </si>
  <si>
    <t xml:space="preserve">10.1002/aenm.201801892</t>
  </si>
  <si>
    <t xml:space="preserve">shin_2016_chemmater_cbts</t>
  </si>
  <si>
    <t xml:space="preserve">Shin, Saparov, Zhu, Huhn, Blum, Mitzi, Chem. Mater. 28, 4771-4780 (2016). BaCu2Sn(S,Se)4: Earth-Abundant Chalcogenides for Thin-Film Photovoltaics.</t>
  </si>
  <si>
    <t xml:space="preserve">10.1021/acs.chemmater.6b01832</t>
  </si>
  <si>
    <t xml:space="preserve">yoo_2021_nature</t>
  </si>
  <si>
    <t xml:space="preserve">J. J. Yoo et al., 'Efficient perovskite solar cells via improved carrier management,' Nature 590, 587 (2021)</t>
  </si>
  <si>
    <t xml:space="preserve">10.1038/s41586-021-03285-w</t>
  </si>
  <si>
    <t xml:space="preserve">min_2021_nature</t>
  </si>
  <si>
    <t xml:space="preserve">Min, Lee, Kim, Park, Hu, Lee, Kim, Choi, Kim, Cho, Kim, Choi, Hong, Park, Heo, Hwang, Choi, Bae, Kim, Hong, Seo, Park, Kim, Yang, Seok, Nature 598, 444-450 (2021). Perovskite solar cells with atomically coherent interlayers on SnO2 electrodes. NREL-certified PCE 25.7%.</t>
  </si>
  <si>
    <t xml:space="preserve">10.1038/s41586-021-03964-8</t>
  </si>
  <si>
    <t xml:space="preserve">haider_2018_jappa_cusbs2</t>
  </si>
  <si>
    <t xml:space="preserve">Haider, Anwar, Wang, J. Phys. Chem. Solids (2018). CuSbS2 thin film for solar cell applications. Standard parameter set widely used in SCAPS literature.</t>
  </si>
  <si>
    <t xml:space="preserve">10.1016/j.jpcs.2018.01.024</t>
  </si>
  <si>
    <t xml:space="preserve">amu_2020_jpscond_v2o5</t>
  </si>
  <si>
    <t xml:space="preserve">Amu, Khatibi, Soucase, Mater. Sci. Semicond. Process. (2020). V2O5 as hole transport layer in perovskite solar cells. Standard SCAPS parameter set.</t>
  </si>
  <si>
    <t xml:space="preserve">10.1016/j.mssp.2020.105184</t>
  </si>
  <si>
    <t xml:space="preserve">hadi_2020_solrl_in2s3</t>
  </si>
  <si>
    <t xml:space="preserve">Hadi, Ali, Sarker, Sol. RRL (2020). In2S3 as buffer layer for perovskite solar cells.</t>
  </si>
  <si>
    <t xml:space="preserve">10.1002/solr.202000370</t>
  </si>
  <si>
    <t xml:space="preserve">shi_2015</t>
  </si>
  <si>
    <t xml:space="preserve">Shi et al., Science 347, 519 (2015)</t>
  </si>
  <si>
    <t xml:space="preserve">10.1126/science.aaa2725</t>
  </si>
  <si>
    <t xml:space="preserve">green_2014_photonics</t>
  </si>
  <si>
    <t xml:space="preserve">Green et al., Nat. Photon. 8, 506 (2014)</t>
  </si>
  <si>
    <t xml:space="preserve">10.1038/nphoton.2014.134</t>
  </si>
  <si>
    <t xml:space="preserve">brivio_2014</t>
  </si>
  <si>
    <t xml:space="preserve">Brivio et al., Phys. Rev. B 89, 155204 (2014)</t>
  </si>
  <si>
    <t xml:space="preserve">10.1103/PhysRevB.89.155204</t>
  </si>
  <si>
    <t xml:space="preserve">hossain_2022_acs_omega</t>
  </si>
  <si>
    <t xml:space="preserve">Hossain, Rubel, Toki, Alam, Rahman, Bencherif, ACS Omega 7, 43210-43230 (2022). Effect of Various Electron and Hole Transport Layers on the Performance of CsPbI3-Based Perovskite Solar Cells: A Numerical Investigation in DFT, SCAPS-1D, and wxAMPS Frameworks. Best device PCE 17.90% (ITO/TiO2/CsPbI3/CBTS/Au).</t>
  </si>
  <si>
    <t xml:space="preserve">10.1021/acsomega.2c05912</t>
  </si>
  <si>
    <t xml:space="preserve">chabri_2023_jem</t>
  </si>
  <si>
    <t xml:space="preserve">Chabri, Benhouria, Oubelkacem, Kaiba, Essaoudi, Ainane, J. Electron. Mater. 52, 2722-2736 (2023). Numerical Analysis of Lead-free Cs2SnI6-Based Perovskite Solar Cell with Inorganic Charge Transport Layers Using SCAPS-1D.</t>
  </si>
  <si>
    <t xml:space="preserve">10.1007/s11664-023-10235-x</t>
  </si>
  <si>
    <t xml:space="preserve">eperon_2014_ees</t>
  </si>
  <si>
    <t xml:space="preserve">Eperon et al., Energy Environ. Sci. 7, 982 (2014)</t>
  </si>
  <si>
    <t xml:space="preserve">10.1039/c3ee43822h</t>
  </si>
  <si>
    <t xml:space="preserve">jiang_2017_nat_energy</t>
  </si>
  <si>
    <t xml:space="preserve">Jiang et al., Nat. Energy 2, 16177 (2017)</t>
  </si>
  <si>
    <t xml:space="preserve">10.1038/nenergy.2016.177</t>
  </si>
  <si>
    <t xml:space="preserve">minemoto_2015_solmat</t>
  </si>
  <si>
    <t xml:space="preserve">Minemoto &amp; Murata, Sol. Energy Mater. Sol. Cells 133, 8 (2015)</t>
  </si>
  <si>
    <t xml:space="preserve">10.1016/j.solmat.2014.10.036</t>
  </si>
  <si>
    <t xml:space="preserve">richter_2016_natcomm</t>
  </si>
  <si>
    <t xml:space="preserve">Richter et al., Nat. Commun. 7, 13941 (2016)</t>
  </si>
  <si>
    <t xml:space="preserve">10.1038/ncomms13941</t>
  </si>
  <si>
    <t xml:space="preserve">dequilettes_2015_science</t>
  </si>
  <si>
    <t xml:space="preserve">DeQuilettes et al., Science 348, 683 (2015)</t>
  </si>
  <si>
    <t xml:space="preserve">10.1126/science.aaa5333</t>
  </si>
  <si>
    <t xml:space="preserve">zhao_2017_aem</t>
  </si>
  <si>
    <t xml:space="preserve">Zhao et al., Adv. Energy Mater. 7, 1700131 (2017)</t>
  </si>
  <si>
    <t xml:space="preserve">10.1002/aenm.201700131</t>
  </si>
  <si>
    <t xml:space="preserve">araujo_2025_rsc_sust</t>
  </si>
  <si>
    <t xml:space="preserve">Araújo V.H.D., Nogueira A.F., Tristão J.C., dos Santos L.J., RSC Sustainability 3, 4314-4335 (2025)</t>
  </si>
  <si>
    <t xml:space="preserve">10.1039/D5SU00526D</t>
  </si>
  <si>
    <t xml:space="preserve">snaith_2013_jpcl</t>
  </si>
  <si>
    <t xml:space="preserve">H. J. Snaith et al., 'Anomalous hysteresis in perovskite solar cells,' J. Phys. Chem. Lett. 5, 1511 (2014)</t>
  </si>
  <si>
    <t xml:space="preserve">10.1021/jz500113x</t>
  </si>
  <si>
    <t xml:space="preserve">ponseca_2014_jacs</t>
  </si>
  <si>
    <t xml:space="preserve">C. S. Ponseca Jr et al., 'Organometal halide perovskite solar cell materials rationalized: ultrafast charge generation, high and microsecond-long balanced mobilities, and slow recombination,' J. Am. Chem. Soc. 136, 5189 (2014)</t>
  </si>
  <si>
    <t xml:space="preserve">10.1021/ja412583t</t>
  </si>
  <si>
    <t xml:space="preserve">wang_2019_acsel_sn</t>
  </si>
  <si>
    <t xml:space="preserve">F. Wang et al., 'Stable lead-free tin halide perovskite solar cells,' ACS Energy Lett. 4, 222 (2019)</t>
  </si>
  <si>
    <t xml:space="preserve">10.1021/acsenergylett.8b02281</t>
  </si>
  <si>
    <t xml:space="preserve">burschka_2013_nature</t>
  </si>
  <si>
    <t xml:space="preserve">J. Burschka et al., 'Sequential deposition as a route to high-performance perovskite-sensitized solar cells,' Nature 499, 316 (2013)</t>
  </si>
  <si>
    <t xml:space="preserve">10.1038/nature12340</t>
  </si>
  <si>
    <t xml:space="preserve">koh_2014_jpcc</t>
  </si>
  <si>
    <t xml:space="preserve">T. M. Koh et al., 'Formamidinium-containing metal-halide: an alternative material for near-IR absorption perovskite solar cells,' J. Phys. Chem. C 118, 16458 (2014)</t>
  </si>
  <si>
    <t xml:space="preserve">10.1021/jp411112k</t>
  </si>
  <si>
    <t xml:space="preserve">liu_2013_planar_deposition</t>
  </si>
  <si>
    <t xml:space="preserve">M. Liu, M. B. Johnston, H. J. Snaith, 'Efficient planar heterojunction perovskite solar cells by vapour deposition,' Nature 501, 395 (2013)</t>
  </si>
  <si>
    <t xml:space="preserve">10.1038/nature12509</t>
  </si>
  <si>
    <t xml:space="preserve">tiep_2016_aem_ZnO</t>
  </si>
  <si>
    <t xml:space="preserve">N. H. Tiep et al., 'Recent advances in improving the stability of perovskite solar cells,' Adv. Energy Mater. 6, 1501420 (2016)</t>
  </si>
  <si>
    <t xml:space="preserve">10.1002/aenm.201501420</t>
  </si>
  <si>
    <t xml:space="preserve">bi_2016_aem_spiro</t>
  </si>
  <si>
    <t xml:space="preserve">D. Bi et al., 'Polymer-templated nucleation and crystal growth of perovskite films for solar cells with efficiency greater than 21%,' Adv. Energy Mater. 6, 1600457 (2016)</t>
  </si>
  <si>
    <t xml:space="preserve">10.1002/aenm.201600457</t>
  </si>
  <si>
    <t xml:space="preserve">arora_2017_science_CuSCN</t>
  </si>
  <si>
    <t xml:space="preserve">N. Arora et al., 'Perovskite solar cells with CuSCN hole extraction layers yield stabilized efficiencies greater than 20%,' Science 358, 768 (2017)</t>
  </si>
  <si>
    <t xml:space="preserve">10.1126/science.aam5655</t>
  </si>
  <si>
    <t xml:space="preserve">hou_2020_science_2pacz</t>
  </si>
  <si>
    <t xml:space="preserve">Y. Hou et al., 'Efficient tandem solar cells with solution-processed perovskite on textured crystalline silicon,' Science 367, 1135 (2020)</t>
  </si>
  <si>
    <t xml:space="preserve">10.1126/science.aaz3691</t>
  </si>
  <si>
    <t xml:space="preserve">saliba_2016_ees</t>
  </si>
  <si>
    <t xml:space="preserve">Saliba M., Matsui T., Seo J.Y. et al., "Cesium-containing triple cation perovskite solar cells: improved stability, reproducibility and high efficiency", Energy Environ. Sci. 9, 1989-1997 (2016)</t>
  </si>
  <si>
    <t xml:space="preserve">10.1039/c5ee03874j</t>
  </si>
  <si>
    <t xml:space="preserve">yang_2015_science</t>
  </si>
  <si>
    <t xml:space="preserve">Yang W.S., Noh J.H., Jeon N.J. et al., "High-performance photovoltaic perovskite layers fabricated through intramolecular exchange", Science 348, 1234-1237 (2015)</t>
  </si>
  <si>
    <t xml:space="preserve">10.1126/science.aaa9272</t>
  </si>
  <si>
    <t xml:space="preserve">wang_2019_acsel_srv</t>
  </si>
  <si>
    <t xml:space="preserve">Wang, Bonoldi, Gibson, Lyu, Ho, Hueston, Marquez, Ginger, ACS Energy Lett. 4, 222-227 (2019). Reducing surface recombination velocities at the electrical contacts will improve perovskite photovoltaics. Time-resolved PL measurements of SRV on 14 transport materials.</t>
  </si>
  <si>
    <t xml:space="preserve">10.1021/acsenergylett.8b02058</t>
  </si>
  <si>
    <t xml:space="preserve">savva_2019_solrrl_PEDOT</t>
  </si>
  <si>
    <t xml:space="preserve">A. Savva et al., 'PEDOT:PSS in perovskite solar cells,' Solar RRL 3, 1900033 (2019)</t>
  </si>
  <si>
    <t xml:space="preserve">10.1002/solr.201900033</t>
  </si>
  <si>
    <t xml:space="preserve">gloeckler_2003_wcpec</t>
  </si>
  <si>
    <t xml:space="preserve">song_2016_vacuum</t>
  </si>
  <si>
    <t xml:space="preserve">10.1016/j.vacuum.2015.03.008</t>
  </si>
  <si>
    <t xml:space="preserve">kephart_2016_solmat</t>
  </si>
  <si>
    <t xml:space="preserve">10.1016/j.solmat.2016.05.050</t>
  </si>
  <si>
    <t xml:space="preserve">zyoud_2021_crystals</t>
  </si>
  <si>
    <t xml:space="preserve">10.3390/cryst11121454</t>
  </si>
  <si>
    <t xml:space="preserve">Physical and model constants</t>
  </si>
  <si>
    <t xml:space="preserve">CODATA 2018 fundamental constants and the published model coefficients used verbatim in the engines.</t>
  </si>
  <si>
    <t xml:space="preserve">Symbol</t>
  </si>
  <si>
    <t xml:space="preserve">Value</t>
  </si>
  <si>
    <t xml:space="preserve">Unit</t>
  </si>
  <si>
    <t xml:space="preserve">Meaning</t>
  </si>
  <si>
    <t xml:space="preserve">Source</t>
  </si>
  <si>
    <t xml:space="preserve">q</t>
  </si>
  <si>
    <t xml:space="preserve">C</t>
  </si>
  <si>
    <t xml:space="preserve">Elementary charge</t>
  </si>
  <si>
    <t xml:space="preserve">CODATA 2018 (exact)</t>
  </si>
  <si>
    <t xml:space="preserve">k_B</t>
  </si>
  <si>
    <t xml:space="preserve">J/K</t>
  </si>
  <si>
    <t xml:space="preserve">Boltzmann constant</t>
  </si>
  <si>
    <t xml:space="preserve">h</t>
  </si>
  <si>
    <t xml:space="preserve">J·s</t>
  </si>
  <si>
    <t xml:space="preserve">Planck constant</t>
  </si>
  <si>
    <t xml:space="preserve">c</t>
  </si>
  <si>
    <t xml:space="preserve">m/s</t>
  </si>
  <si>
    <t xml:space="preserve">Speed of light</t>
  </si>
  <si>
    <t xml:space="preserve">V_T(300K)</t>
  </si>
  <si>
    <t xml:space="preserve">V</t>
  </si>
  <si>
    <t xml:space="preserve">Thermal voltage kT/q</t>
  </si>
  <si>
    <t xml:space="preserve">derived (=k_B·300/q)</t>
  </si>
  <si>
    <t xml:space="preserve">n_i,eff (Si, 300K)</t>
  </si>
  <si>
    <t xml:space="preserve">cm⁻³</t>
  </si>
  <si>
    <t xml:space="preserve">Effective intrinsic density, c-Si</t>
  </si>
  <si>
    <t xml:space="preserve">Altermatt 2003, DOI 10.1063/1.1529297</t>
  </si>
  <si>
    <t xml:space="preserve">C_eeh (Auger)</t>
  </si>
  <si>
    <t xml:space="preserve">cm⁶/s</t>
  </si>
  <si>
    <t xml:space="preserve">e-e-h Auger coefficient</t>
  </si>
  <si>
    <t xml:space="preserve">Richter 2012, DOI 10.1103/PhysRevB.86.165202</t>
  </si>
  <si>
    <t xml:space="preserve">C_ehh (Auger)</t>
  </si>
  <si>
    <t xml:space="preserve">e-h-h Auger coefficient</t>
  </si>
  <si>
    <t xml:space="preserve">Richter 2012</t>
  </si>
  <si>
    <t xml:space="preserve">C_Δn (Auger)</t>
  </si>
  <si>
    <t xml:space="preserve">cm⁶/s (Δn^0.92)</t>
  </si>
  <si>
    <t xml:space="preserve">Injection-dependent Auger term</t>
  </si>
  <si>
    <t xml:space="preserve">B_low (rad.)</t>
  </si>
  <si>
    <t xml:space="preserve">cm³/s</t>
  </si>
  <si>
    <t xml:space="preserve">Radiative coefficient, c-Si</t>
  </si>
  <si>
    <t xml:space="preserve">Richter 2012 param. set</t>
  </si>
  <si>
    <t xml:space="preserve">Si SJ limit</t>
  </si>
  <si>
    <t xml:space="preserve">Max single-junction c-Si efficiency (enforced bound)</t>
  </si>
  <si>
    <t xml:space="preserve">Niewelt 2022, DOI 10.1016/j.solmat.2021.111467</t>
  </si>
  <si>
    <t xml:space="preserve">AM1.5G P_in</t>
  </si>
  <si>
    <t xml:space="preserve">mW/cm²</t>
  </si>
  <si>
    <t xml:space="preserve">Standard test condition irradiance</t>
  </si>
  <si>
    <t xml:space="preserve">ASTM G173-03</t>
  </si>
  <si>
    <t xml:space="preserve">Material parameter database — perovskite/CdTe stack materials</t>
  </si>
  <si>
    <t xml:space="preserve">Source: data/materials_database.json (per-parameter provenance in file). Eg [eV], chi [eV], eps [rel], Nc/Nv [cm⁻³], mu [cm²/Vs], doping [cm⁻³], alpha0 [cm⁻¹·eV^-1/2].</t>
  </si>
  <si>
    <t xml:space="preserve">Class</t>
  </si>
  <si>
    <t xml:space="preserve">Material</t>
  </si>
  <si>
    <t xml:space="preserve">Eg</t>
  </si>
  <si>
    <t xml:space="preserve">chi</t>
  </si>
  <si>
    <t xml:space="preserve">eps</t>
  </si>
  <si>
    <t xml:space="preserve">Nc</t>
  </si>
  <si>
    <t xml:space="preserve">Nv</t>
  </si>
  <si>
    <t xml:space="preserve">mu_e</t>
  </si>
  <si>
    <t xml:space="preserve">mu_h</t>
  </si>
  <si>
    <t xml:space="preserve">Doping</t>
  </si>
  <si>
    <t xml:space="preserve">Type</t>
  </si>
  <si>
    <t xml:space="preserve">alpha0</t>
  </si>
  <si>
    <t xml:space="preserve">References (registry keys)</t>
  </si>
  <si>
    <t xml:space="preserve">Absorber</t>
  </si>
  <si>
    <t xml:space="preserve">MAPbI3</t>
  </si>
  <si>
    <t xml:space="preserve">p</t>
  </si>
  <si>
    <t xml:space="preserve">b, r, i, v</t>
  </si>
  <si>
    <t xml:space="preserve">FAPbI3</t>
  </si>
  <si>
    <t xml:space="preserve">e, p, e, r</t>
  </si>
  <si>
    <t xml:space="preserve">CsPbI3</t>
  </si>
  <si>
    <t xml:space="preserve">h, o, s, s</t>
  </si>
  <si>
    <t xml:space="preserve">Cs2SnI6</t>
  </si>
  <si>
    <t xml:space="preserve">c, h, a, b</t>
  </si>
  <si>
    <t xml:space="preserve">MAPbBr3</t>
  </si>
  <si>
    <t xml:space="preserve">MASnI3</t>
  </si>
  <si>
    <t xml:space="preserve">w, a, n, g</t>
  </si>
  <si>
    <t xml:space="preserve">CsSnI3</t>
  </si>
  <si>
    <t xml:space="preserve">c, h, u, n</t>
  </si>
  <si>
    <t xml:space="preserve">FASnI3</t>
  </si>
  <si>
    <t xml:space="preserve">k, o, h, _</t>
  </si>
  <si>
    <t xml:space="preserve">FA0.83Cs0.17Pb_I0.6Br0.4_3</t>
  </si>
  <si>
    <t xml:space="preserve">y, o, o, _</t>
  </si>
  <si>
    <t xml:space="preserve">CdTe</t>
  </si>
  <si>
    <t xml:space="preserve">g, l, o, e</t>
  </si>
  <si>
    <t xml:space="preserve">ETL</t>
  </si>
  <si>
    <t xml:space="preserve">SnO2</t>
  </si>
  <si>
    <t xml:space="preserve">n</t>
  </si>
  <si>
    <t xml:space="preserve">TiO2</t>
  </si>
  <si>
    <t xml:space="preserve">ZnO</t>
  </si>
  <si>
    <t xml:space="preserve">C60</t>
  </si>
  <si>
    <t xml:space="preserve">PCBM</t>
  </si>
  <si>
    <t xml:space="preserve">c_Si</t>
  </si>
  <si>
    <t xml:space="preserve">g, r, e, e</t>
  </si>
  <si>
    <t xml:space="preserve">IGZO</t>
  </si>
  <si>
    <t xml:space="preserve">WS2</t>
  </si>
  <si>
    <t xml:space="preserve">AZO</t>
  </si>
  <si>
    <t xml:space="preserve">In2S3</t>
  </si>
  <si>
    <t xml:space="preserve">h, a, d, i</t>
  </si>
  <si>
    <t xml:space="preserve">CdS</t>
  </si>
  <si>
    <t xml:space="preserve">HTL</t>
  </si>
  <si>
    <t xml:space="preserve">Spiro-OMeTAD</t>
  </si>
  <si>
    <t xml:space="preserve">Cu2O</t>
  </si>
  <si>
    <t xml:space="preserve">NiO</t>
  </si>
  <si>
    <t xml:space="preserve">CuSCN</t>
  </si>
  <si>
    <t xml:space="preserve">a, r, o, r</t>
  </si>
  <si>
    <t xml:space="preserve">PEDOT:PSS</t>
  </si>
  <si>
    <t xml:space="preserve">2PACz</t>
  </si>
  <si>
    <t xml:space="preserve">h, o, u, _</t>
  </si>
  <si>
    <t xml:space="preserve">CBTS</t>
  </si>
  <si>
    <t xml:space="preserve">CuI</t>
  </si>
  <si>
    <t xml:space="preserve">CuSbS2</t>
  </si>
  <si>
    <t xml:space="preserve">V2O5</t>
  </si>
  <si>
    <t xml:space="preserve">P3HT</t>
  </si>
  <si>
    <t xml:space="preserve">CFTS</t>
  </si>
  <si>
    <t xml:space="preserve">SrCu2O2</t>
  </si>
  <si>
    <t xml:space="preserve">h, a, i, d</t>
  </si>
  <si>
    <t xml:space="preserve">CdTe-BSF</t>
  </si>
  <si>
    <t xml:space="preserve">Crystalline-silicon architecture presets vs certified record devices</t>
  </si>
  <si>
    <t xml:space="preserve">Model results computed live by physics/silicon.py at build time. Error and PASS columns are formulas. Reproduce: scripts/run_multi_tech_validation.py</t>
  </si>
  <si>
    <t xml:space="preserve">Preset</t>
  </si>
  <si>
    <t xml:space="preserve">W [µm]</t>
  </si>
  <si>
    <t xml:space="preserve">N_dop [cm⁻³]</t>
  </si>
  <si>
    <t xml:space="preserve">τ_SRH [ms]</t>
  </si>
  <si>
    <t xml:space="preserve">J0s [fA/cm²]</t>
  </si>
  <si>
    <t xml:space="preserve">Rs [Ω·cm²]</t>
  </si>
  <si>
    <t xml:space="preserve">Certified PCE %</t>
  </si>
  <si>
    <t xml:space="preserve">Model PCE %</t>
  </si>
  <si>
    <t xml:space="preserve">Model Voc [V]</t>
  </si>
  <si>
    <t xml:space="preserve">Model Jsc</t>
  </si>
  <si>
    <t xml:space="preserve">Model FF</t>
  </si>
  <si>
    <t xml:space="preserve">|Err| %</t>
  </si>
  <si>
    <t xml:space="preserve">Tol %</t>
  </si>
  <si>
    <t xml:space="preserve">PASS</t>
  </si>
  <si>
    <t xml:space="preserve">Link</t>
  </si>
  <si>
    <t xml:space="preserve">SHJ-IBC (Kaneka 26.7%)</t>
  </si>
  <si>
    <t xml:space="preserve">SHJ both-side (LONGi 26.81%)</t>
  </si>
  <si>
    <t xml:space="preserve">TOPCon back junction (Fraunhofer 26.0%)</t>
  </si>
  <si>
    <t xml:space="preserve">PERC industrial (~24%)</t>
  </si>
  <si>
    <t xml:space="preserve">Al-BSF legacy (~20%)</t>
  </si>
  <si>
    <t xml:space="preserve">Organic BHJ blend presets vs certified record devices</t>
  </si>
  <si>
    <t xml:space="preserve">Model results live from physics/organic.py (calibrated optics). TMM cross-path PCE included where an n,k dataset exists.</t>
  </si>
  <si>
    <t xml:space="preserve">Blend preset</t>
  </si>
  <si>
    <t xml:space="preserve">Eg_opt [eV]</t>
  </si>
  <si>
    <t xml:space="preserve">E_loss [eV]</t>
  </si>
  <si>
    <t xml:space="preserve">EQE_max</t>
  </si>
  <si>
    <t xml:space="preserve">L [nm]</t>
  </si>
  <si>
    <t xml:space="preserve">n_id</t>
  </si>
  <si>
    <t xml:space="preserve">TMM-optics PCE %</t>
  </si>
  <si>
    <t xml:space="preserve">Model Voc</t>
  </si>
  <si>
    <t xml:space="preserve">PM6:Y6 (Joule 2019, 15.7%)</t>
  </si>
  <si>
    <t xml:space="preserve">PM6:L8-BO (Nat. Energy 2021, 18.3%)</t>
  </si>
  <si>
    <t xml:space="preserve">n/a (no n,k set)</t>
  </si>
  <si>
    <t xml:space="preserve">PBQx-TF:eC9-2Cl (Adv. Mater. 2021, 19.0%)</t>
  </si>
  <si>
    <t xml:space="preserve">PM6:L8-BO-C4 (Nat. Mater. 2025, 20.4%)</t>
  </si>
  <si>
    <t xml:space="preserve">P3HT:PC61BM (legacy, ~4%)</t>
  </si>
  <si>
    <t xml:space="preserve">Perovskite/Si tandem grade presets vs the certified record lineage</t>
  </si>
  <si>
    <t xml:space="preserve">Grades = documented interface-quality eras (four scalars each, ranges in VALIDATION_MULTI_TECH.md). Model live from physics/tandem.py; 2023 grade optimizes top thickness in [400,1100] nm.</t>
  </si>
  <si>
    <t xml:space="preserve">Grade</t>
  </si>
  <si>
    <t xml:space="preserve">N_t,top [cm⁻³]</t>
  </si>
  <si>
    <t xml:space="preserve">R_int</t>
  </si>
  <si>
    <t xml:space="preserve">Parasitic</t>
  </si>
  <si>
    <t xml:space="preserve">Rs,int [Ω·cm²]</t>
  </si>
  <si>
    <t xml:space="preserve">d_top [nm]</t>
  </si>
  <si>
    <t xml:space="preserve">2020 (alashouri_2020)</t>
  </si>
  <si>
    <t xml:space="preserve">2023 (chin_mariotti_2023)</t>
  </si>
  <si>
    <t xml:space="preserve">2025 (jia_2025)</t>
  </si>
  <si>
    <t xml:space="preserve">Note: 2023 target is the mid-point of the certified 31.25–32.5% band (Chin 2023 / Mariotti 2023). Disclosed 2020-grade Jsc/FF trade-off documented in VALIDATION_MULTI_TECH.md.</t>
  </si>
  <si>
    <t xml:space="preserve">Experimental validation — 14 certified fabricated devices</t>
  </si>
  <si>
    <t xml:space="preserve">Source artifact: artifacts/validation_multi_tech.json (regenerate: python scripts/run_multi_tech_validation.py). Error and PASS columns are live formulas.</t>
  </si>
  <si>
    <t xml:space="preserve">ID</t>
  </si>
  <si>
    <t xml:space="preserve">Technology</t>
  </si>
  <si>
    <t xml:space="preserve">Reference key</t>
  </si>
  <si>
    <t xml:space="preserve">Tolerance %</t>
  </si>
  <si>
    <t xml:space="preserve">yoshikawa_2017_shj_ibc</t>
  </si>
  <si>
    <t xml:space="preserve">Silicon</t>
  </si>
  <si>
    <t xml:space="preserve">lin_2023_shj</t>
  </si>
  <si>
    <t xml:space="preserve">richter_2021_topcon</t>
  </si>
  <si>
    <t xml:space="preserve">perc_industrial</t>
  </si>
  <si>
    <t xml:space="preserve">albsf_legacy</t>
  </si>
  <si>
    <t xml:space="preserve">yuan_2019_pm6y6</t>
  </si>
  <si>
    <t xml:space="preserve">Organic</t>
  </si>
  <si>
    <t xml:space="preserve">yuan_2019_pm6y6_300nm</t>
  </si>
  <si>
    <t xml:space="preserve">li_2021_l8bo</t>
  </si>
  <si>
    <t xml:space="preserve">cui_2021_19pct</t>
  </si>
  <si>
    <t xml:space="preserve">li_2025_204pct</t>
  </si>
  <si>
    <t xml:space="preserve">p3ht_pcbm</t>
  </si>
  <si>
    <t xml:space="preserve">alashouri_2020</t>
  </si>
  <si>
    <t xml:space="preserve">Tandem</t>
  </si>
  <si>
    <t xml:space="preserve">chin_mariotti_2023</t>
  </si>
  <si>
    <t xml:space="preserve">jia_2025</t>
  </si>
  <si>
    <t xml:space="preserve">Suite summary</t>
  </si>
  <si>
    <t xml:space="preserve">Mean |err|:</t>
  </si>
  <si>
    <t xml:space="preserve">Max |err|:</t>
  </si>
  <si>
    <t xml:space="preserve">Pass:</t>
  </si>
  <si>
    <t xml:space="preserve">Cross-tool validation — SCAPS-1D, Lumerical-class TMM, internal redundancy</t>
  </si>
  <si>
    <t xml:space="preserve">Source artifact: artifacts/validation_cross_tool.json (regenerate: python scripts/run_cross_tool_validation.py).</t>
  </si>
  <si>
    <t xml:space="preserve">Check</t>
  </si>
  <si>
    <t xml:space="preserve">Result detail</t>
  </si>
  <si>
    <t xml:space="preserve">Family</t>
  </si>
  <si>
    <t xml:space="preserve">C1a</t>
  </si>
  <si>
    <t xml:space="preserve">energy conservation R+T+ΣA=1</t>
  </si>
  <si>
    <t xml:space="preserve">max err 9.73e-05</t>
  </si>
  <si>
    <t xml:space="preserve">Lumerical-class optics (TMM)</t>
  </si>
  <si>
    <t xml:space="preserve">C1b</t>
  </si>
  <si>
    <t xml:space="preserve">Fresnel limit glass/air</t>
  </si>
  <si>
    <t xml:space="preserve">R=0.04257999 vs analytic 0.04257999</t>
  </si>
  <si>
    <t xml:space="preserve">C1c</t>
  </si>
  <si>
    <t xml:space="preserve">P3HT:PCBM Jsc(L) interference vs published TMM</t>
  </si>
  <si>
    <t xml:space="preserve">maxima [80.0, 215.0] nm at [8.38, 10.11] mA/cm², min 130.0 nm (Sievers 2006 / Kotlarski 2008 / Monestier 2007)</t>
  </si>
  <si>
    <t xml:space="preserve">C1d</t>
  </si>
  <si>
    <t xml:space="preserve">NFA blend first optical optimum near ~100 nm</t>
  </si>
  <si>
    <t xml:space="preserve">first-region optimum 90 nm (Im 2023)</t>
  </si>
  <si>
    <t xml:space="preserve">C1e</t>
  </si>
  <si>
    <t xml:space="preserve">PM6:Y6 TMM Jsc vs certified device (Yuan 2019)</t>
  </si>
  <si>
    <t xml:space="preserve">24.01 vs 25.3 mA/cm² (5.1% dev; published TMM band ~16%, Rosa 2021)</t>
  </si>
  <si>
    <t xml:space="preserve">C1f</t>
  </si>
  <si>
    <t xml:space="preserve">independent-path PCE: TMM optics vs calibrated optics</t>
  </si>
  <si>
    <t xml:space="preserve">14.88% vs 15.57% (4.4% dev)</t>
  </si>
  <si>
    <t xml:space="preserve">C2a</t>
  </si>
  <si>
    <t xml:space="preserve">.def export → re-import round trip</t>
  </si>
  <si>
    <t xml:space="preserve">layer count + Eg + χ parameter-exact</t>
  </si>
  <si>
    <t xml:space="preserve">SCAPS-1D interoperability</t>
  </si>
  <si>
    <t xml:space="preserve">C2b</t>
  </si>
  <si>
    <t xml:space="preserve">published-SCAPS numerical cross-check (v3 suite)</t>
  </si>
  <si>
    <t xml:space="preserve">published-SCAPS suite: 10 devices, mean PCE error 0.7%, worst 2.0% (v3 artifact re-asserted)</t>
  </si>
  <si>
    <t xml:space="preserve">C3a</t>
  </si>
  <si>
    <t xml:space="preserve">silicon: Richter-2012 vs Niewelt-2022 intrinsic models</t>
  </si>
  <si>
    <t xml:space="preserve">26.77% vs 26.92% (0.56% dev)</t>
  </si>
  <si>
    <t xml:space="preserve">Internal redundancy</t>
  </si>
  <si>
    <t xml:space="preserve">Published-SCAPS replication suite — 10 devices</t>
  </si>
  <si>
    <t xml:space="preserve">Source artifact: artifacts/benchmark_results.json (v3 suite, re-asserted by the cross-tool script). Published SCAPS values from the cited papers vs this tool's drift-diffusion outputs.</t>
  </si>
  <si>
    <t xml:space="preserve">Stack</t>
  </si>
  <si>
    <t xml:space="preserve">SCAPS PCE %</t>
  </si>
  <si>
    <t xml:space="preserve">Our PCE %</t>
  </si>
  <si>
    <t xml:space="preserve">SCAPS Voc</t>
  </si>
  <si>
    <t xml:space="preserve">Our Voc</t>
  </si>
  <si>
    <t xml:space="preserve">SCAPS Jsc</t>
  </si>
  <si>
    <t xml:space="preserve">Our Jsc</t>
  </si>
  <si>
    <t xml:space="preserve">SCAPS FF</t>
  </si>
  <si>
    <t xml:space="preserve">Our FF</t>
  </si>
  <si>
    <t xml:space="preserve">|PCE err| %</t>
  </si>
  <si>
    <t xml:space="preserve">D1</t>
  </si>
  <si>
    <t xml:space="preserve">ITO / PCBM / CsPbI3 / CBTS / Au</t>
  </si>
  <si>
    <t xml:space="preserve">D2</t>
  </si>
  <si>
    <t xml:space="preserve">ITO / TiO2 / CsPbI3 / CBTS / Au</t>
  </si>
  <si>
    <t xml:space="preserve">D3</t>
  </si>
  <si>
    <t xml:space="preserve">ITO / ZnO / CsPbI3 / CBTS / Au</t>
  </si>
  <si>
    <t xml:space="preserve">D4</t>
  </si>
  <si>
    <t xml:space="preserve">ITO / C60 / CsPbI3 / CBTS / Au</t>
  </si>
  <si>
    <t xml:space="preserve">D5</t>
  </si>
  <si>
    <t xml:space="preserve">ITO / IGZO / CsPbI3 / CBTS / Au</t>
  </si>
  <si>
    <t xml:space="preserve">D6</t>
  </si>
  <si>
    <t xml:space="preserve">ITO / WS2 / CsPbI3 / CBTS / Au</t>
  </si>
  <si>
    <t xml:space="preserve">D7</t>
  </si>
  <si>
    <t xml:space="preserve">ITO / CuI / Cs2SnI6 / ZnO / AZO / Ag</t>
  </si>
  <si>
    <t xml:space="preserve">D8</t>
  </si>
  <si>
    <t xml:space="preserve">ITO / Cu2O / CsPbI3 / TiO2 / Au</t>
  </si>
  <si>
    <t xml:space="preserve">D9</t>
  </si>
  <si>
    <t xml:space="preserve">ITO / CuSCN / CsPbI3 / TiO2 / Au</t>
  </si>
  <si>
    <t xml:space="preserve">D10</t>
  </si>
  <si>
    <t xml:space="preserve">ITO / Spiro-OMeTAD / CsPbI3 / TiO2 / Au</t>
  </si>
  <si>
    <t xml:space="preserve">Mean:</t>
  </si>
  <si>
    <t xml:space="preserve">Hand-solved mathematical verification — 22 executable assertions</t>
  </si>
  <si>
    <t xml:space="preserve">Source: live run of scripts/run_tutorial_examples.py at build time; full derivations in docs/TUTORIAL.md.</t>
  </si>
  <si>
    <t xml:space="preserve">Assertion ID</t>
  </si>
  <si>
    <t xml:space="preserve">Statement</t>
  </si>
  <si>
    <t xml:space="preserve">Detail (hand vs engine)</t>
  </si>
  <si>
    <t xml:space="preserve">1.1</t>
  </si>
  <si>
    <t xml:space="preserve">photocurrent ceiling</t>
  </si>
  <si>
    <t xml:space="preserve">q*Phi(&lt;=1200nm) = 46.41 mA/cm² (tutorial 46.41); engine Jsc 43.00 = 92.7% utilization</t>
  </si>
  <si>
    <t xml:space="preserve">1.2</t>
  </si>
  <si>
    <t xml:space="preserve">open-circuit balance closes</t>
  </si>
  <si>
    <t xml:space="preserve">(R_intr+R_SRH+R_surf)/G - 1 = 1.2e-14 (1.196e+19+1.070e+18+3.230e+18 vs G=1.626e+19)</t>
  </si>
  <si>
    <t xml:space="preserve">1.3</t>
  </si>
  <si>
    <t xml:space="preserve">hand Voc = engine Voc</t>
  </si>
  <si>
    <t xml:space="preserve">hand 0.7451 V vs engine 0.7451 V</t>
  </si>
  <si>
    <t xml:space="preserve">1.4</t>
  </si>
  <si>
    <t xml:space="preserve">Green-1981 FF</t>
  </si>
  <si>
    <t xml:space="preserve">FF0=0.8529, rs=0.0185 -&gt; hand 0.8356 vs engine 0.8357</t>
  </si>
  <si>
    <t xml:space="preserve">1.5</t>
  </si>
  <si>
    <t xml:space="preserve">PCE assembles to certified device</t>
  </si>
  <si>
    <t xml:space="preserve">0.7450 x 43.00 x 0.8357 = 26.77% (certified 26.7%, Yoshikawa 2017)</t>
  </si>
  <si>
    <t xml:space="preserve">2.1</t>
  </si>
  <si>
    <t xml:space="preserve">Voc = (Eg - E_loss)/q</t>
  </si>
  <si>
    <t xml:space="preserve">1.33 - 0.50 = 0.830 V vs engine 0.829 V</t>
  </si>
  <si>
    <t xml:space="preserve">2.2</t>
  </si>
  <si>
    <t xml:space="preserve">spectral window integral</t>
  </si>
  <si>
    <t xml:space="preserve">q∫Phi(350-932nm) = 34.90; xEQE(0.769) = 26.84; roll-off -&gt; engine 25.29 (certified 25.3)</t>
  </si>
  <si>
    <t xml:space="preserve">2.3</t>
  </si>
  <si>
    <t xml:space="preserve">diode J0 consistency</t>
  </si>
  <si>
    <t xml:space="preserve">hand 1.738e-08 vs engine 1.700e-08 mA/cm²</t>
  </si>
  <si>
    <t xml:space="preserve">2.4</t>
  </si>
  <si>
    <t xml:space="preserve">PCE vs certified device</t>
  </si>
  <si>
    <t xml:space="preserve">15.57% vs 15.7% (Yuan 2019)</t>
  </si>
  <si>
    <t xml:space="preserve">2.5</t>
  </si>
  <si>
    <t xml:space="preserve">independent TMM optics path</t>
  </si>
  <si>
    <t xml:space="preserve">TMM 14.88% vs calibrated 15.57% (4.4% dev; Rosa-2021 band ~16%)</t>
  </si>
  <si>
    <t xml:space="preserve">3.1</t>
  </si>
  <si>
    <t xml:space="preserve">Tauc absorption at 600 nm</t>
  </si>
  <si>
    <t xml:space="preserve">alpha = 5.216e+04 cm⁻¹, A(500 nm film) = 0.926</t>
  </si>
  <si>
    <t xml:space="preserve">3.2</t>
  </si>
  <si>
    <t xml:space="preserve">Jsc below above-gap ceiling</t>
  </si>
  <si>
    <t xml:space="preserve">engine 21.47 &lt; ceiling 26.91 mA/cm² (79.8% utilization at Nt=1e14)</t>
  </si>
  <si>
    <t xml:space="preserve">3.3</t>
  </si>
  <si>
    <t xml:space="preserve">Voc below radiative (SQ) limit</t>
  </si>
  <si>
    <t xml:space="preserve">engine 1.038 V &lt; V_oc,rad = 1.2784 V (J0_rad = 8.993e-21 mA/cm²)</t>
  </si>
  <si>
    <t xml:space="preserve">4.1</t>
  </si>
  <si>
    <t xml:space="preserve">Voc additivity at J=0</t>
  </si>
  <si>
    <t xml:space="preserve">1.201 + 0.727 = 1.929 V vs tandem 1.922 V</t>
  </si>
  <si>
    <t xml:space="preserve">4.2</t>
  </si>
  <si>
    <t xml:space="preserve">bottom-cell intensity penalty ~ VT ln(J/J0)</t>
  </si>
  <si>
    <t xml:space="preserve">observed -17.5 mV vs VT·ln(19.44/43.00) = -20.5 mV</t>
  </si>
  <si>
    <t xml:space="preserve">4.3</t>
  </si>
  <si>
    <t xml:space="preserve">series stack limited by smaller subcell current</t>
  </si>
  <si>
    <t xml:space="preserve">tandem 17.90 = min(17.90, 19.44)</t>
  </si>
  <si>
    <t xml:space="preserve">4.4</t>
  </si>
  <si>
    <t xml:space="preserve">PCE vs certified 29.15%</t>
  </si>
  <si>
    <t xml:space="preserve">29.16% (Al-Ashouri 2020)</t>
  </si>
  <si>
    <t xml:space="preserve">5.1</t>
  </si>
  <si>
    <t xml:space="preserve">Fresnel limit</t>
  </si>
  <si>
    <t xml:space="preserve">R = 0.04257999 vs ((0.52/2.52))² = 0.04257999; R+T-1 = -1.1e-16</t>
  </si>
  <si>
    <t xml:space="preserve">5.2</t>
  </si>
  <si>
    <t xml:space="preserve">quarter-wave rule anticipates first maximum</t>
  </si>
  <si>
    <t xml:space="preserve">lam/4n = 66.1 nm; broadband TMM max at 80 nm (published window 70-90 nm)</t>
  </si>
  <si>
    <t xml:space="preserve">5.3</t>
  </si>
  <si>
    <t xml:space="preserve">energy conservation</t>
  </si>
  <si>
    <t xml:space="preserve">max|1-(R+T+SumA)| = 9.7e-05</t>
  </si>
  <si>
    <t xml:space="preserve">6.1</t>
  </si>
  <si>
    <t xml:space="preserve">PINN vs FDM held-out devices</t>
  </si>
  <si>
    <t xml:space="preserve">rel-L2(psi) on 3 held-out devices: 7.3%, 6.5%, 7.6% (&lt;10%)</t>
  </si>
  <si>
    <t xml:space="preserve">6.2</t>
  </si>
  <si>
    <t xml:space="preserve">analytic depletion anchor</t>
  </si>
  <si>
    <t xml:space="preserve">W_D = 1662 nm &gt;&gt; 500 nm -&gt; fully depleted absorber, uniform field ~ V_bi/d = 20 kV/cm (PINN field check)</t>
  </si>
  <si>
    <t xml:space="preserve">Complex refractive-index database of the transfer-matrix solver</t>
  </si>
  <si>
    <t xml:space="preserve">Source: physics/tmm.py (_NK). n interpolated linearly, k log-linearly between nodes. Organic-blend k carries ±5–10% ellipsometry batch spread (Kerremans 2020).</t>
  </si>
  <si>
    <t xml:space="preserve">λ [nm]</t>
  </si>
  <si>
    <t xml:space="preserve">k</t>
  </si>
  <si>
    <t xml:space="preserve">glass</t>
  </si>
  <si>
    <t xml:space="preserve">standard (BK7-class, dispersion negligible for PV)</t>
  </si>
  <si>
    <t xml:space="preserve">ITO</t>
  </si>
  <si>
    <t xml:space="preserve">Burkhard 2010 suppl. + refs, DOI 10.1002/adma.201000883</t>
  </si>
  <si>
    <t xml:space="preserve">Burkhard 2010 suppl.</t>
  </si>
  <si>
    <t xml:space="preserve">standard device-modeling values</t>
  </si>
  <si>
    <t xml:space="preserve">P3HT:PCBM</t>
  </si>
  <si>
    <t xml:space="preserve">Monestier 2007, DOI 10.1016/j.solmat.2006.10.019; Burkhard 2010</t>
  </si>
  <si>
    <t xml:space="preserve">PM6:Y6</t>
  </si>
  <si>
    <t xml:space="preserve">Kerremans 2020, DOI 10.1002/adom.202000319 (adjusted within batch spread)</t>
  </si>
  <si>
    <t xml:space="preserve">Al</t>
  </si>
  <si>
    <t xml:space="preserve">Rakic 1995, DOI 10.1364/AO.34.004755</t>
  </si>
  <si>
    <t xml:space="preserve">Ag</t>
  </si>
  <si>
    <t xml:space="preserve">Johnson &amp; Christy 1972, DOI 10.1103/PhysRevB.6.4370</t>
  </si>
  <si>
    <t xml:space="preserve">air</t>
  </si>
  <si>
    <t xml:space="preserve">Live simulated J-V data — all four technologies</t>
  </si>
  <si>
    <t xml:space="preserve">Generated by the engines at build time from the shipped presets; the chart below plots the four curves.</t>
  </si>
  <si>
    <t xml:space="preserve">V [Perovskite MAPbI3 (19.1%)]</t>
  </si>
  <si>
    <t xml:space="preserve">J [Perovskite MAPbI3 (19.1%)]</t>
  </si>
  <si>
    <t xml:space="preserve">V [Silicon SHJ-IBC (26.8%)]</t>
  </si>
  <si>
    <t xml:space="preserve">J [Silicon SHJ-IBC (26.8%)]</t>
  </si>
  <si>
    <t xml:space="preserve">V [Organic PM6:Y6 (15.6%)]</t>
  </si>
  <si>
    <t xml:space="preserve">J [Organic PM6:Y6 (15.6%)]</t>
  </si>
  <si>
    <t xml:space="preserve">V [Tandem pk/Si 2T (29.2%)]</t>
  </si>
  <si>
    <t xml:space="preserve">J [Tandem pk/Si 2T (29.2%)]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</si>
</sst>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%"/>
    <numFmt numFmtId="166" formatCode="0.0000E+00"/>
    <numFmt numFmtId="167" formatCode="0.000000"/>
    <numFmt numFmtId="168" formatCode="0.00"/>
    <numFmt numFmtId="169" formatCode="0.00E+00"/>
    <numFmt numFmtId="170" formatCode="0.0000"/>
    <numFmt numFmtId="171" formatCode="0.0%"/>
    <numFmt numFmtId="172" formatCode="0.0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2F7FB"/>
      <rgbColor rgb="FFCCFFFF"/>
      <rgbColor rgb="FF660066"/>
      <rgbColor rgb="FFFF8080"/>
      <rgbColor rgb="FF0563C1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Certified vs model PCE (14 devices)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Benchmarks_Experimental!D4</c:f>
              <c:strCache>
                <c:ptCount val="1"/>
                <c:pt idx="0">
                  <c:v>Certified PCE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Benchmarks_Experimental!$A$5:$A$18</c:f>
              <c:strCache>
                <c:ptCount val="14"/>
                <c:pt idx="0">
                  <c:v>yoshikawa_2017_shj_ibc</c:v>
                </c:pt>
                <c:pt idx="1">
                  <c:v>lin_2023_shj</c:v>
                </c:pt>
                <c:pt idx="2">
                  <c:v>richter_2021_topcon</c:v>
                </c:pt>
                <c:pt idx="3">
                  <c:v>perc_industrial</c:v>
                </c:pt>
                <c:pt idx="4">
                  <c:v>albsf_legacy</c:v>
                </c:pt>
                <c:pt idx="5">
                  <c:v>yuan_2019_pm6y6</c:v>
                </c:pt>
                <c:pt idx="6">
                  <c:v>yuan_2019_pm6y6_300nm</c:v>
                </c:pt>
                <c:pt idx="7">
                  <c:v>li_2021_l8bo</c:v>
                </c:pt>
                <c:pt idx="8">
                  <c:v>cui_2021_19pct</c:v>
                </c:pt>
                <c:pt idx="9">
                  <c:v>li_2025_204pct</c:v>
                </c:pt>
                <c:pt idx="10">
                  <c:v>p3ht_pcbm</c:v>
                </c:pt>
                <c:pt idx="11">
                  <c:v>alashouri_2020</c:v>
                </c:pt>
                <c:pt idx="12">
                  <c:v>chin_mariotti_2023</c:v>
                </c:pt>
                <c:pt idx="13">
                  <c:v>jia_2025</c:v>
                </c:pt>
              </c:strCache>
            </c:strRef>
          </c:cat>
          <c:val>
            <c:numRef>
              <c:f>Benchmarks_Experimental!$D$5:$D$18</c:f>
              <c:numCache>
                <c:formatCode>0.00</c:formatCode>
                <c:ptCount val="14"/>
                <c:pt idx="0">
                  <c:v>26.7</c:v>
                </c:pt>
                <c:pt idx="1">
                  <c:v>26.81</c:v>
                </c:pt>
                <c:pt idx="2">
                  <c:v>26</c:v>
                </c:pt>
                <c:pt idx="3">
                  <c:v>24.06</c:v>
                </c:pt>
                <c:pt idx="4">
                  <c:v>20.1</c:v>
                </c:pt>
                <c:pt idx="5">
                  <c:v>15.7</c:v>
                </c:pt>
                <c:pt idx="6">
                  <c:v>13.6</c:v>
                </c:pt>
                <c:pt idx="7">
                  <c:v>18.32</c:v>
                </c:pt>
                <c:pt idx="8">
                  <c:v>19</c:v>
                </c:pt>
                <c:pt idx="9">
                  <c:v>20.42</c:v>
                </c:pt>
                <c:pt idx="10">
                  <c:v>4</c:v>
                </c:pt>
                <c:pt idx="11">
                  <c:v>29.15</c:v>
                </c:pt>
                <c:pt idx="12">
                  <c:v>31.875</c:v>
                </c:pt>
                <c:pt idx="13">
                  <c:v>34.58</c:v>
                </c:pt>
              </c:numCache>
            </c:numRef>
          </c:val>
        </c:ser>
        <c:ser>
          <c:idx val="1"/>
          <c:order val="1"/>
          <c:tx>
            <c:strRef>
              <c:f>Benchmarks_Experimental!E4</c:f>
              <c:strCache>
                <c:ptCount val="1"/>
                <c:pt idx="0">
                  <c:v>Model PCE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Benchmarks_Experimental!$A$5:$A$18</c:f>
              <c:strCache>
                <c:ptCount val="14"/>
                <c:pt idx="0">
                  <c:v>yoshikawa_2017_shj_ibc</c:v>
                </c:pt>
                <c:pt idx="1">
                  <c:v>lin_2023_shj</c:v>
                </c:pt>
                <c:pt idx="2">
                  <c:v>richter_2021_topcon</c:v>
                </c:pt>
                <c:pt idx="3">
                  <c:v>perc_industrial</c:v>
                </c:pt>
                <c:pt idx="4">
                  <c:v>albsf_legacy</c:v>
                </c:pt>
                <c:pt idx="5">
                  <c:v>yuan_2019_pm6y6</c:v>
                </c:pt>
                <c:pt idx="6">
                  <c:v>yuan_2019_pm6y6_300nm</c:v>
                </c:pt>
                <c:pt idx="7">
                  <c:v>li_2021_l8bo</c:v>
                </c:pt>
                <c:pt idx="8">
                  <c:v>cui_2021_19pct</c:v>
                </c:pt>
                <c:pt idx="9">
                  <c:v>li_2025_204pct</c:v>
                </c:pt>
                <c:pt idx="10">
                  <c:v>p3ht_pcbm</c:v>
                </c:pt>
                <c:pt idx="11">
                  <c:v>alashouri_2020</c:v>
                </c:pt>
                <c:pt idx="12">
                  <c:v>chin_mariotti_2023</c:v>
                </c:pt>
                <c:pt idx="13">
                  <c:v>jia_2025</c:v>
                </c:pt>
              </c:strCache>
            </c:strRef>
          </c:cat>
          <c:val>
            <c:numRef>
              <c:f>Benchmarks_Experimental!$E$5:$E$18</c:f>
              <c:numCache>
                <c:formatCode>0.00</c:formatCode>
                <c:ptCount val="14"/>
                <c:pt idx="0">
                  <c:v>26.7706</c:v>
                </c:pt>
                <c:pt idx="1">
                  <c:v>26.7548</c:v>
                </c:pt>
                <c:pt idx="2">
                  <c:v>25.9811</c:v>
                </c:pt>
                <c:pt idx="3">
                  <c:v>23.6008</c:v>
                </c:pt>
                <c:pt idx="4">
                  <c:v>20.1627</c:v>
                </c:pt>
                <c:pt idx="5">
                  <c:v>15.568</c:v>
                </c:pt>
                <c:pt idx="6">
                  <c:v>13.4237</c:v>
                </c:pt>
                <c:pt idx="7">
                  <c:v>18.204</c:v>
                </c:pt>
                <c:pt idx="8">
                  <c:v>19.1946</c:v>
                </c:pt>
                <c:pt idx="9">
                  <c:v>20.6719</c:v>
                </c:pt>
                <c:pt idx="10">
                  <c:v>4.0497</c:v>
                </c:pt>
                <c:pt idx="11">
                  <c:v>29.1555</c:v>
                </c:pt>
                <c:pt idx="12">
                  <c:v>31.7514</c:v>
                </c:pt>
                <c:pt idx="13">
                  <c:v>34.1628</c:v>
                </c:pt>
              </c:numCache>
            </c:numRef>
          </c:val>
        </c:ser>
        <c:gapWidth val="150"/>
        <c:overlap val="0"/>
        <c:axId val="20179663"/>
        <c:axId val="21894363"/>
      </c:barChart>
      <c:catAx>
        <c:axId val="2017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94363"/>
        <c:crosses val="autoZero"/>
        <c:auto val="1"/>
        <c:lblAlgn val="ctr"/>
        <c:lblOffset val="100"/>
        <c:noMultiLvlLbl val="0"/>
      </c:catAx>
      <c:valAx>
        <c:axId val="218943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796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Simulated J-V — four technologies (live engine data)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smooth val="1"/>
        </c:ser>
        <c:ser>
          <c:idx val="3"/>
          <c:order val="3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43200509"/>
        <c:axId val="25146338"/>
      </c:lineChart>
      <c:catAx>
        <c:axId val="432005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46338"/>
        <c:crosses val="autoZero"/>
        <c:auto val="1"/>
        <c:lblAlgn val="ctr"/>
        <c:lblOffset val="100"/>
        <c:noMultiLvlLbl val="0"/>
      </c:catAx>
      <c:valAx>
        <c:axId val="25146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 (mA/cm²)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00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48600</xdr:rowOff>
    </xdr:from>
    <xdr:to>
      <xdr:col>10</xdr:col>
      <xdr:colOff>745200</xdr:colOff>
      <xdr:row>35</xdr:row>
      <xdr:rowOff>70560</xdr:rowOff>
    </xdr:to>
    <xdr:graphicFrame>
      <xdr:nvGraphicFramePr>
        <xdr:cNvPr id="0" name="Chart 1"/>
        <xdr:cNvGraphicFramePr/>
      </xdr:nvGraphicFramePr>
      <xdr:xfrm>
        <a:off x="0" y="40006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21</xdr:col>
      <xdr:colOff>581760</xdr:colOff>
      <xdr:row>20</xdr:row>
      <xdr:rowOff>76680</xdr:rowOff>
    </xdr:to>
    <xdr:graphicFrame>
      <xdr:nvGraphicFramePr>
        <xdr:cNvPr id="1" name="Chart 1"/>
        <xdr:cNvGraphicFramePr/>
      </xdr:nvGraphicFramePr>
      <xdr:xfrm>
        <a:off x="737820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7" t="s">
        <v>7</v>
      </c>
      <c r="B7" s="8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7" t="s">
        <v>11</v>
      </c>
      <c r="B9" s="8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7" t="s">
        <v>15</v>
      </c>
      <c r="B11" s="8" t="s">
        <v>16</v>
      </c>
    </row>
    <row r="12" customFormat="false" ht="15" hidden="false" customHeight="false" outlineLevel="0" collapsed="false">
      <c r="A12" s="5" t="s">
        <v>17</v>
      </c>
      <c r="B12" s="6" t="s">
        <v>18</v>
      </c>
    </row>
    <row r="13" customFormat="false" ht="15" hidden="false" customHeight="false" outlineLevel="0" collapsed="false">
      <c r="A13" s="7" t="s">
        <v>19</v>
      </c>
      <c r="B13" s="8" t="s">
        <v>20</v>
      </c>
    </row>
    <row r="14" customFormat="false" ht="15" hidden="false" customHeight="false" outlineLevel="0" collapsed="false">
      <c r="A14" s="5" t="s">
        <v>21</v>
      </c>
      <c r="B14" s="6" t="s">
        <v>22</v>
      </c>
    </row>
    <row r="15" customFormat="false" ht="15" hidden="false" customHeight="false" outlineLevel="0" collapsed="false">
      <c r="A15" s="7" t="s">
        <v>23</v>
      </c>
      <c r="B15" s="8" t="s">
        <v>24</v>
      </c>
    </row>
    <row r="16" customFormat="false" ht="15" hidden="false" customHeight="false" outlineLevel="0" collapsed="false">
      <c r="A16" s="5" t="s">
        <v>25</v>
      </c>
      <c r="B16" s="6" t="s">
        <v>26</v>
      </c>
    </row>
    <row r="17" customFormat="false" ht="15" hidden="false" customHeight="false" outlineLevel="0" collapsed="false">
      <c r="A17" s="7" t="s">
        <v>27</v>
      </c>
      <c r="B17" s="8" t="s">
        <v>28</v>
      </c>
    </row>
    <row r="19" customFormat="false" ht="15" hidden="false" customHeight="false" outlineLevel="0" collapsed="false">
      <c r="A19" s="3" t="s">
        <v>29</v>
      </c>
    </row>
    <row r="20" customFormat="false" ht="15" hidden="false" customHeight="false" outlineLevel="0" collapsed="false">
      <c r="A20" s="7" t="s">
        <v>30</v>
      </c>
      <c r="B20" s="9" t="str">
        <f aca="false">COUNTIF(Benchmarks_Experimental!J:J,"PASS")&amp;" / "&amp;COUNT(Benchmarks_Experimental!D:D)</f>
        <v>15 / 14</v>
      </c>
    </row>
    <row r="21" customFormat="false" ht="15" hidden="false" customHeight="false" outlineLevel="0" collapsed="false">
      <c r="A21" s="5" t="s">
        <v>31</v>
      </c>
      <c r="B21" s="10" t="n">
        <f aca="false">AVERAGE(Benchmarks_Experimental!H5:H18)</f>
        <v>0.0076051416942878</v>
      </c>
    </row>
    <row r="22" customFormat="false" ht="15" hidden="false" customHeight="false" outlineLevel="0" collapsed="false">
      <c r="A22" s="7" t="s">
        <v>32</v>
      </c>
      <c r="B22" s="11" t="n">
        <f aca="false">MAX(Benchmarks_Experimental!H5:H18)</f>
        <v>0.0190856192851205</v>
      </c>
    </row>
    <row r="23" customFormat="false" ht="15" hidden="false" customHeight="false" outlineLevel="0" collapsed="false">
      <c r="A23" s="5" t="s">
        <v>33</v>
      </c>
      <c r="B23" s="12" t="str">
        <f aca="false">COUNTIF(CrossTool_Checks!E:E,"PASS")&amp;" / 9"</f>
        <v>10 / 9</v>
      </c>
    </row>
    <row r="24" customFormat="false" ht="15" hidden="false" customHeight="false" outlineLevel="0" collapsed="false">
      <c r="A24" s="7" t="s">
        <v>34</v>
      </c>
      <c r="B24" s="9" t="str">
        <f aca="false">COUNTIF(Tutorial_Assertions!D:D,"PASS")&amp;" / 22"</f>
        <v>23 / 22</v>
      </c>
    </row>
    <row r="25" customFormat="false" ht="15" hidden="false" customHeight="false" outlineLevel="0" collapsed="false">
      <c r="A25" s="5" t="s">
        <v>35</v>
      </c>
      <c r="B25" s="10" t="n">
        <f aca="false">AVERAGE(SCAPS_Suite!L5:L14)</f>
        <v>0.00672549602293657</v>
      </c>
    </row>
    <row r="26" customFormat="false" ht="15" hidden="false" customHeight="false" outlineLevel="0" collapsed="false">
      <c r="A26" s="7" t="s">
        <v>36</v>
      </c>
      <c r="B26" s="9" t="str">
        <f aca="false">COUNTIF(Reference_Registry!G:G,"YES")&amp;" / "&amp;COUNTA(Reference_Registry!A5:A200)</f>
        <v>67 / 85</v>
      </c>
    </row>
    <row r="28" customFormat="false" ht="15" hidden="false" customHeight="false" outlineLevel="0" collapsed="false">
      <c r="A28" s="3" t="s">
        <v>37</v>
      </c>
    </row>
    <row r="29" customFormat="false" ht="15" hidden="false" customHeight="true" outlineLevel="0" collapsed="false">
      <c r="A29" s="6" t="s">
        <v>38</v>
      </c>
      <c r="B29" s="6"/>
    </row>
    <row r="30" customFormat="false" ht="15" hidden="false" customHeight="true" outlineLevel="0" collapsed="false">
      <c r="A30" s="6" t="s">
        <v>39</v>
      </c>
      <c r="B30" s="6"/>
    </row>
    <row r="31" customFormat="false" ht="15" hidden="false" customHeight="true" outlineLevel="0" collapsed="false">
      <c r="A31" s="6" t="s">
        <v>40</v>
      </c>
      <c r="B31" s="6"/>
    </row>
    <row r="32" customFormat="false" ht="15" hidden="false" customHeight="true" outlineLevel="0" collapsed="false">
      <c r="A32" s="6" t="s">
        <v>41</v>
      </c>
      <c r="B32" s="6"/>
    </row>
  </sheetData>
  <mergeCells count="4">
    <mergeCell ref="A29:B29"/>
    <mergeCell ref="A30:B30"/>
    <mergeCell ref="A31:B31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</row>
    <row r="5" customFormat="false" ht="35.05" hidden="false" customHeight="false" outlineLevel="0" collapsed="false">
      <c r="A5" s="5" t="s">
        <v>52</v>
      </c>
      <c r="B5" s="6" t="s">
        <v>53</v>
      </c>
      <c r="C5" s="5" t="s">
        <v>54</v>
      </c>
      <c r="D5" s="13" t="str">
        <f aca="false">HYPERLINK("https://doi.org/"&amp;C5,"open")</f>
        <v>open</v>
      </c>
      <c r="E5" s="6" t="s">
        <v>55</v>
      </c>
      <c r="F5" s="5" t="s">
        <v>56</v>
      </c>
      <c r="G5" s="14" t="s">
        <v>57</v>
      </c>
      <c r="H5" s="5" t="s">
        <v>58</v>
      </c>
    </row>
    <row r="6" customFormat="false" ht="35.05" hidden="false" customHeight="false" outlineLevel="0" collapsed="false">
      <c r="A6" s="7" t="s">
        <v>59</v>
      </c>
      <c r="B6" s="8" t="s">
        <v>60</v>
      </c>
      <c r="C6" s="7" t="s">
        <v>61</v>
      </c>
      <c r="D6" s="15" t="str">
        <f aca="false">HYPERLINK("https://doi.org/"&amp;C6,"open")</f>
        <v>open</v>
      </c>
      <c r="E6" s="8" t="s">
        <v>62</v>
      </c>
      <c r="F6" s="7" t="s">
        <v>56</v>
      </c>
      <c r="G6" s="16" t="s">
        <v>57</v>
      </c>
      <c r="H6" s="7" t="s">
        <v>58</v>
      </c>
    </row>
    <row r="7" customFormat="false" ht="23.85" hidden="false" customHeight="false" outlineLevel="0" collapsed="false">
      <c r="A7" s="5" t="s">
        <v>63</v>
      </c>
      <c r="B7" s="6" t="s">
        <v>64</v>
      </c>
      <c r="C7" s="5" t="s">
        <v>65</v>
      </c>
      <c r="D7" s="13" t="str">
        <f aca="false">HYPERLINK("https://doi.org/"&amp;C7,"open")</f>
        <v>open</v>
      </c>
      <c r="E7" s="6" t="s">
        <v>66</v>
      </c>
      <c r="F7" s="5" t="s">
        <v>56</v>
      </c>
      <c r="G7" s="14" t="s">
        <v>57</v>
      </c>
      <c r="H7" s="5" t="s">
        <v>58</v>
      </c>
    </row>
    <row r="8" customFormat="false" ht="35.05" hidden="false" customHeight="false" outlineLevel="0" collapsed="false">
      <c r="A8" s="7" t="s">
        <v>67</v>
      </c>
      <c r="B8" s="8" t="s">
        <v>68</v>
      </c>
      <c r="C8" s="7" t="s">
        <v>69</v>
      </c>
      <c r="D8" s="15" t="str">
        <f aca="false">HYPERLINK("https://doi.org/"&amp;C8,"open")</f>
        <v>open</v>
      </c>
      <c r="E8" s="8" t="s">
        <v>70</v>
      </c>
      <c r="F8" s="7" t="s">
        <v>56</v>
      </c>
      <c r="G8" s="16" t="s">
        <v>57</v>
      </c>
      <c r="H8" s="7" t="s">
        <v>58</v>
      </c>
    </row>
    <row r="9" customFormat="false" ht="23.85" hidden="false" customHeight="false" outlineLevel="0" collapsed="false">
      <c r="A9" s="5" t="s">
        <v>71</v>
      </c>
      <c r="B9" s="6" t="s">
        <v>72</v>
      </c>
      <c r="C9" s="5" t="s">
        <v>73</v>
      </c>
      <c r="D9" s="13" t="str">
        <f aca="false">HYPERLINK("https://doi.org/"&amp;C9,"open")</f>
        <v>open</v>
      </c>
      <c r="E9" s="6" t="s">
        <v>74</v>
      </c>
      <c r="F9" s="5" t="s">
        <v>75</v>
      </c>
      <c r="G9" s="5" t="s">
        <v>76</v>
      </c>
      <c r="H9" s="5" t="s">
        <v>58</v>
      </c>
    </row>
    <row r="10" customFormat="false" ht="35.05" hidden="false" customHeight="false" outlineLevel="0" collapsed="false">
      <c r="A10" s="7" t="s">
        <v>77</v>
      </c>
      <c r="B10" s="8" t="s">
        <v>78</v>
      </c>
      <c r="C10" s="7" t="s">
        <v>79</v>
      </c>
      <c r="D10" s="15" t="str">
        <f aca="false">HYPERLINK("https://doi.org/"&amp;C10,"open")</f>
        <v>open</v>
      </c>
      <c r="E10" s="8" t="s">
        <v>80</v>
      </c>
      <c r="F10" s="7" t="s">
        <v>75</v>
      </c>
      <c r="G10" s="7" t="s">
        <v>76</v>
      </c>
      <c r="H10" s="7" t="s">
        <v>58</v>
      </c>
    </row>
    <row r="11" customFormat="false" ht="23.85" hidden="false" customHeight="false" outlineLevel="0" collapsed="false">
      <c r="A11" s="5" t="s">
        <v>81</v>
      </c>
      <c r="B11" s="6" t="s">
        <v>82</v>
      </c>
      <c r="C11" s="5" t="s">
        <v>83</v>
      </c>
      <c r="D11" s="13" t="str">
        <f aca="false">HYPERLINK("https://doi.org/"&amp;C11,"open")</f>
        <v>open</v>
      </c>
      <c r="E11" s="6" t="s">
        <v>84</v>
      </c>
      <c r="F11" s="5" t="s">
        <v>75</v>
      </c>
      <c r="G11" s="5" t="s">
        <v>76</v>
      </c>
      <c r="H11" s="5" t="s">
        <v>58</v>
      </c>
    </row>
    <row r="12" customFormat="false" ht="35.05" hidden="false" customHeight="false" outlineLevel="0" collapsed="false">
      <c r="A12" s="7" t="s">
        <v>85</v>
      </c>
      <c r="B12" s="8" t="s">
        <v>86</v>
      </c>
      <c r="C12" s="7" t="s">
        <v>87</v>
      </c>
      <c r="D12" s="15" t="str">
        <f aca="false">HYPERLINK("https://doi.org/"&amp;C12,"open")</f>
        <v>open</v>
      </c>
      <c r="E12" s="8" t="s">
        <v>88</v>
      </c>
      <c r="F12" s="7" t="s">
        <v>56</v>
      </c>
      <c r="G12" s="16" t="s">
        <v>57</v>
      </c>
      <c r="H12" s="7" t="s">
        <v>58</v>
      </c>
    </row>
    <row r="13" customFormat="false" ht="35.05" hidden="false" customHeight="false" outlineLevel="0" collapsed="false">
      <c r="A13" s="5" t="s">
        <v>89</v>
      </c>
      <c r="B13" s="6" t="s">
        <v>90</v>
      </c>
      <c r="C13" s="5" t="s">
        <v>91</v>
      </c>
      <c r="D13" s="13" t="str">
        <f aca="false">HYPERLINK("https://doi.org/"&amp;C13,"open")</f>
        <v>open</v>
      </c>
      <c r="E13" s="6" t="s">
        <v>92</v>
      </c>
      <c r="F13" s="5" t="s">
        <v>56</v>
      </c>
      <c r="G13" s="14" t="s">
        <v>57</v>
      </c>
      <c r="H13" s="5" t="s">
        <v>58</v>
      </c>
    </row>
    <row r="14" customFormat="false" ht="35.05" hidden="false" customHeight="false" outlineLevel="0" collapsed="false">
      <c r="A14" s="7" t="s">
        <v>93</v>
      </c>
      <c r="B14" s="8" t="s">
        <v>94</v>
      </c>
      <c r="C14" s="7" t="s">
        <v>95</v>
      </c>
      <c r="D14" s="15" t="str">
        <f aca="false">HYPERLINK("https://doi.org/"&amp;C14,"open")</f>
        <v>open</v>
      </c>
      <c r="E14" s="8" t="s">
        <v>96</v>
      </c>
      <c r="F14" s="7" t="s">
        <v>56</v>
      </c>
      <c r="G14" s="16" t="s">
        <v>57</v>
      </c>
      <c r="H14" s="7" t="s">
        <v>58</v>
      </c>
    </row>
    <row r="15" customFormat="false" ht="35.05" hidden="false" customHeight="false" outlineLevel="0" collapsed="false">
      <c r="A15" s="5" t="s">
        <v>97</v>
      </c>
      <c r="B15" s="6" t="s">
        <v>98</v>
      </c>
      <c r="C15" s="5" t="s">
        <v>99</v>
      </c>
      <c r="D15" s="13" t="str">
        <f aca="false">HYPERLINK("https://doi.org/"&amp;C15,"open")</f>
        <v>open</v>
      </c>
      <c r="E15" s="6" t="s">
        <v>100</v>
      </c>
      <c r="F15" s="5" t="s">
        <v>56</v>
      </c>
      <c r="G15" s="14" t="s">
        <v>57</v>
      </c>
      <c r="H15" s="5" t="s">
        <v>58</v>
      </c>
    </row>
    <row r="16" customFormat="false" ht="23.85" hidden="false" customHeight="false" outlineLevel="0" collapsed="false">
      <c r="A16" s="7" t="s">
        <v>101</v>
      </c>
      <c r="B16" s="8" t="s">
        <v>102</v>
      </c>
      <c r="C16" s="7" t="s">
        <v>103</v>
      </c>
      <c r="D16" s="15" t="str">
        <f aca="false">HYPERLINK("https://doi.org/"&amp;C16,"open")</f>
        <v>open</v>
      </c>
      <c r="E16" s="8" t="s">
        <v>104</v>
      </c>
      <c r="F16" s="7" t="s">
        <v>75</v>
      </c>
      <c r="G16" s="7" t="s">
        <v>76</v>
      </c>
      <c r="H16" s="7" t="s">
        <v>58</v>
      </c>
    </row>
    <row r="17" customFormat="false" ht="35.05" hidden="false" customHeight="false" outlineLevel="0" collapsed="false">
      <c r="A17" s="5" t="s">
        <v>105</v>
      </c>
      <c r="B17" s="6" t="s">
        <v>106</v>
      </c>
      <c r="C17" s="5" t="s">
        <v>107</v>
      </c>
      <c r="D17" s="13" t="str">
        <f aca="false">HYPERLINK("https://doi.org/"&amp;C17,"open")</f>
        <v>open</v>
      </c>
      <c r="E17" s="6" t="s">
        <v>108</v>
      </c>
      <c r="F17" s="5" t="s">
        <v>75</v>
      </c>
      <c r="G17" s="5" t="s">
        <v>76</v>
      </c>
      <c r="H17" s="5" t="s">
        <v>58</v>
      </c>
    </row>
    <row r="18" customFormat="false" ht="35.05" hidden="false" customHeight="false" outlineLevel="0" collapsed="false">
      <c r="A18" s="7" t="s">
        <v>109</v>
      </c>
      <c r="B18" s="8" t="s">
        <v>110</v>
      </c>
      <c r="C18" s="7" t="s">
        <v>111</v>
      </c>
      <c r="D18" s="15" t="str">
        <f aca="false">HYPERLINK("https://doi.org/"&amp;C18,"open")</f>
        <v>open</v>
      </c>
      <c r="E18" s="8" t="s">
        <v>112</v>
      </c>
      <c r="F18" s="7" t="s">
        <v>56</v>
      </c>
      <c r="G18" s="16" t="s">
        <v>57</v>
      </c>
      <c r="H18" s="7" t="s">
        <v>58</v>
      </c>
    </row>
    <row r="19" customFormat="false" ht="35.05" hidden="false" customHeight="false" outlineLevel="0" collapsed="false">
      <c r="A19" s="5" t="s">
        <v>113</v>
      </c>
      <c r="B19" s="6" t="s">
        <v>114</v>
      </c>
      <c r="C19" s="5" t="s">
        <v>115</v>
      </c>
      <c r="D19" s="13" t="str">
        <f aca="false">HYPERLINK("https://doi.org/"&amp;C19,"open")</f>
        <v>open</v>
      </c>
      <c r="E19" s="6" t="s">
        <v>116</v>
      </c>
      <c r="F19" s="5" t="s">
        <v>56</v>
      </c>
      <c r="G19" s="14" t="s">
        <v>57</v>
      </c>
      <c r="H19" s="5" t="s">
        <v>58</v>
      </c>
    </row>
    <row r="20" customFormat="false" ht="23.85" hidden="false" customHeight="false" outlineLevel="0" collapsed="false">
      <c r="A20" s="7" t="s">
        <v>117</v>
      </c>
      <c r="B20" s="8" t="s">
        <v>118</v>
      </c>
      <c r="C20" s="7" t="s">
        <v>119</v>
      </c>
      <c r="D20" s="15" t="str">
        <f aca="false">HYPERLINK("https://doi.org/"&amp;C20,"open")</f>
        <v>open</v>
      </c>
      <c r="E20" s="8" t="s">
        <v>120</v>
      </c>
      <c r="F20" s="7" t="s">
        <v>56</v>
      </c>
      <c r="G20" s="16" t="s">
        <v>57</v>
      </c>
      <c r="H20" s="7" t="s">
        <v>58</v>
      </c>
    </row>
    <row r="21" customFormat="false" ht="35.05" hidden="false" customHeight="false" outlineLevel="0" collapsed="false">
      <c r="A21" s="5" t="s">
        <v>121</v>
      </c>
      <c r="B21" s="6" t="s">
        <v>122</v>
      </c>
      <c r="C21" s="5" t="s">
        <v>123</v>
      </c>
      <c r="D21" s="13" t="str">
        <f aca="false">HYPERLINK("https://doi.org/"&amp;C21,"open")</f>
        <v>open</v>
      </c>
      <c r="E21" s="6" t="s">
        <v>124</v>
      </c>
      <c r="F21" s="5" t="s">
        <v>56</v>
      </c>
      <c r="G21" s="14" t="s">
        <v>57</v>
      </c>
      <c r="H21" s="5" t="s">
        <v>58</v>
      </c>
    </row>
    <row r="22" customFormat="false" ht="35.05" hidden="false" customHeight="false" outlineLevel="0" collapsed="false">
      <c r="A22" s="7" t="s">
        <v>125</v>
      </c>
      <c r="B22" s="8" t="s">
        <v>126</v>
      </c>
      <c r="C22" s="7" t="s">
        <v>127</v>
      </c>
      <c r="D22" s="15" t="str">
        <f aca="false">HYPERLINK("https://doi.org/"&amp;C22,"open")</f>
        <v>open</v>
      </c>
      <c r="E22" s="8" t="s">
        <v>128</v>
      </c>
      <c r="F22" s="7" t="s">
        <v>56</v>
      </c>
      <c r="G22" s="16" t="s">
        <v>57</v>
      </c>
      <c r="H22" s="7" t="s">
        <v>58</v>
      </c>
    </row>
    <row r="23" customFormat="false" ht="35.05" hidden="false" customHeight="false" outlineLevel="0" collapsed="false">
      <c r="A23" s="5" t="s">
        <v>129</v>
      </c>
      <c r="B23" s="6" t="s">
        <v>130</v>
      </c>
      <c r="C23" s="5" t="s">
        <v>131</v>
      </c>
      <c r="D23" s="13" t="str">
        <f aca="false">HYPERLINK("https://doi.org/"&amp;C23,"open")</f>
        <v>open</v>
      </c>
      <c r="E23" s="6" t="s">
        <v>132</v>
      </c>
      <c r="F23" s="5" t="s">
        <v>75</v>
      </c>
      <c r="G23" s="5" t="s">
        <v>76</v>
      </c>
      <c r="H23" s="5" t="s">
        <v>58</v>
      </c>
    </row>
    <row r="24" customFormat="false" ht="23.85" hidden="false" customHeight="false" outlineLevel="0" collapsed="false">
      <c r="A24" s="7" t="s">
        <v>133</v>
      </c>
      <c r="B24" s="8" t="s">
        <v>134</v>
      </c>
      <c r="C24" s="7" t="s">
        <v>135</v>
      </c>
      <c r="D24" s="15" t="str">
        <f aca="false">HYPERLINK("https://doi.org/"&amp;C24,"open")</f>
        <v>open</v>
      </c>
      <c r="E24" s="8" t="s">
        <v>136</v>
      </c>
      <c r="F24" s="7" t="s">
        <v>56</v>
      </c>
      <c r="G24" s="16" t="s">
        <v>57</v>
      </c>
      <c r="H24" s="7" t="s">
        <v>58</v>
      </c>
    </row>
    <row r="25" customFormat="false" ht="23.85" hidden="false" customHeight="false" outlineLevel="0" collapsed="false">
      <c r="A25" s="5" t="s">
        <v>137</v>
      </c>
      <c r="B25" s="6" t="s">
        <v>138</v>
      </c>
      <c r="C25" s="5" t="s">
        <v>139</v>
      </c>
      <c r="D25" s="13" t="str">
        <f aca="false">HYPERLINK("https://doi.org/"&amp;C25,"open")</f>
        <v>open</v>
      </c>
      <c r="E25" s="6" t="s">
        <v>140</v>
      </c>
      <c r="F25" s="5" t="s">
        <v>56</v>
      </c>
      <c r="G25" s="14" t="s">
        <v>57</v>
      </c>
      <c r="H25" s="5" t="s">
        <v>58</v>
      </c>
    </row>
    <row r="26" customFormat="false" ht="23.85" hidden="false" customHeight="false" outlineLevel="0" collapsed="false">
      <c r="A26" s="7" t="s">
        <v>141</v>
      </c>
      <c r="B26" s="8" t="s">
        <v>142</v>
      </c>
      <c r="C26" s="7" t="s">
        <v>143</v>
      </c>
      <c r="D26" s="15" t="str">
        <f aca="false">HYPERLINK("https://doi.org/"&amp;C26,"open")</f>
        <v>open</v>
      </c>
      <c r="E26" s="8" t="s">
        <v>144</v>
      </c>
      <c r="F26" s="7" t="s">
        <v>56</v>
      </c>
      <c r="G26" s="16" t="s">
        <v>57</v>
      </c>
      <c r="H26" s="7" t="s">
        <v>58</v>
      </c>
    </row>
    <row r="27" customFormat="false" ht="23.85" hidden="false" customHeight="false" outlineLevel="0" collapsed="false">
      <c r="A27" s="5" t="s">
        <v>145</v>
      </c>
      <c r="B27" s="6" t="s">
        <v>146</v>
      </c>
      <c r="C27" s="5" t="s">
        <v>147</v>
      </c>
      <c r="D27" s="13" t="str">
        <f aca="false">HYPERLINK("https://doi.org/"&amp;C27,"open")</f>
        <v>open</v>
      </c>
      <c r="E27" s="6" t="s">
        <v>148</v>
      </c>
      <c r="F27" s="5" t="s">
        <v>56</v>
      </c>
      <c r="G27" s="14" t="s">
        <v>57</v>
      </c>
      <c r="H27" s="5" t="s">
        <v>58</v>
      </c>
    </row>
    <row r="28" customFormat="false" ht="23.85" hidden="false" customHeight="false" outlineLevel="0" collapsed="false">
      <c r="A28" s="7" t="s">
        <v>149</v>
      </c>
      <c r="B28" s="8" t="s">
        <v>150</v>
      </c>
      <c r="C28" s="7" t="s">
        <v>151</v>
      </c>
      <c r="D28" s="15" t="str">
        <f aca="false">HYPERLINK("https://doi.org/"&amp;C28,"open")</f>
        <v>open</v>
      </c>
      <c r="E28" s="8" t="s">
        <v>152</v>
      </c>
      <c r="F28" s="7" t="s">
        <v>75</v>
      </c>
      <c r="G28" s="7" t="s">
        <v>76</v>
      </c>
      <c r="H28" s="7" t="s">
        <v>58</v>
      </c>
    </row>
    <row r="29" customFormat="false" ht="35.05" hidden="false" customHeight="false" outlineLevel="0" collapsed="false">
      <c r="A29" s="5" t="s">
        <v>153</v>
      </c>
      <c r="B29" s="6" t="s">
        <v>154</v>
      </c>
      <c r="C29" s="5" t="s">
        <v>155</v>
      </c>
      <c r="D29" s="13" t="str">
        <f aca="false">HYPERLINK("https://doi.org/"&amp;C29,"open")</f>
        <v>open</v>
      </c>
      <c r="E29" s="6" t="s">
        <v>156</v>
      </c>
      <c r="F29" s="5" t="s">
        <v>56</v>
      </c>
      <c r="G29" s="14" t="s">
        <v>57</v>
      </c>
      <c r="H29" s="5" t="s">
        <v>58</v>
      </c>
    </row>
    <row r="30" customFormat="false" ht="23.85" hidden="false" customHeight="false" outlineLevel="0" collapsed="false">
      <c r="A30" s="7" t="s">
        <v>157</v>
      </c>
      <c r="B30" s="8" t="s">
        <v>158</v>
      </c>
      <c r="C30" s="7" t="s">
        <v>159</v>
      </c>
      <c r="D30" s="15" t="str">
        <f aca="false">HYPERLINK("https://doi.org/"&amp;C30,"open")</f>
        <v>open</v>
      </c>
      <c r="E30" s="8" t="s">
        <v>160</v>
      </c>
      <c r="F30" s="7" t="s">
        <v>56</v>
      </c>
      <c r="G30" s="7" t="s">
        <v>76</v>
      </c>
      <c r="H30" s="7" t="s">
        <v>58</v>
      </c>
    </row>
    <row r="31" customFormat="false" ht="35.05" hidden="false" customHeight="false" outlineLevel="0" collapsed="false">
      <c r="A31" s="5" t="s">
        <v>161</v>
      </c>
      <c r="B31" s="6" t="s">
        <v>162</v>
      </c>
      <c r="C31" s="5" t="s">
        <v>163</v>
      </c>
      <c r="D31" s="13" t="str">
        <f aca="false">HYPERLINK("https://doi.org/"&amp;C31,"open")</f>
        <v>open</v>
      </c>
      <c r="E31" s="6" t="s">
        <v>164</v>
      </c>
      <c r="F31" s="5" t="s">
        <v>56</v>
      </c>
      <c r="G31" s="14" t="s">
        <v>57</v>
      </c>
      <c r="H31" s="5" t="s">
        <v>58</v>
      </c>
    </row>
    <row r="32" customFormat="false" ht="46.25" hidden="false" customHeight="false" outlineLevel="0" collapsed="false">
      <c r="A32" s="7" t="s">
        <v>165</v>
      </c>
      <c r="B32" s="8" t="s">
        <v>166</v>
      </c>
      <c r="C32" s="7" t="s">
        <v>167</v>
      </c>
      <c r="D32" s="15" t="str">
        <f aca="false">HYPERLINK("https://doi.org/"&amp;C32,"open")</f>
        <v>open</v>
      </c>
      <c r="E32" s="8" t="s">
        <v>168</v>
      </c>
      <c r="F32" s="7" t="s">
        <v>56</v>
      </c>
      <c r="G32" s="7" t="s">
        <v>76</v>
      </c>
      <c r="H32" s="7" t="s">
        <v>58</v>
      </c>
    </row>
    <row r="33" customFormat="false" ht="35.05" hidden="false" customHeight="false" outlineLevel="0" collapsed="false">
      <c r="A33" s="5" t="s">
        <v>169</v>
      </c>
      <c r="B33" s="6" t="s">
        <v>170</v>
      </c>
      <c r="C33" s="5" t="s">
        <v>171</v>
      </c>
      <c r="D33" s="13" t="str">
        <f aca="false">HYPERLINK("https://doi.org/"&amp;C33,"open")</f>
        <v>open</v>
      </c>
      <c r="E33" s="6" t="s">
        <v>172</v>
      </c>
      <c r="F33" s="5" t="s">
        <v>56</v>
      </c>
      <c r="G33" s="14" t="s">
        <v>57</v>
      </c>
      <c r="H33" s="5" t="s">
        <v>58</v>
      </c>
    </row>
    <row r="34" customFormat="false" ht="35.05" hidden="false" customHeight="false" outlineLevel="0" collapsed="false">
      <c r="A34" s="7" t="s">
        <v>173</v>
      </c>
      <c r="B34" s="8" t="s">
        <v>174</v>
      </c>
      <c r="C34" s="7" t="s">
        <v>175</v>
      </c>
      <c r="D34" s="15" t="str">
        <f aca="false">HYPERLINK("https://doi.org/"&amp;C34,"open")</f>
        <v>open</v>
      </c>
      <c r="E34" s="8" t="s">
        <v>176</v>
      </c>
      <c r="F34" s="7" t="s">
        <v>56</v>
      </c>
      <c r="G34" s="16" t="s">
        <v>57</v>
      </c>
      <c r="H34" s="7" t="s">
        <v>58</v>
      </c>
    </row>
    <row r="35" customFormat="false" ht="35.05" hidden="false" customHeight="false" outlineLevel="0" collapsed="false">
      <c r="A35" s="5" t="s">
        <v>177</v>
      </c>
      <c r="B35" s="6" t="s">
        <v>178</v>
      </c>
      <c r="C35" s="5" t="s">
        <v>179</v>
      </c>
      <c r="D35" s="13" t="str">
        <f aca="false">HYPERLINK("https://doi.org/"&amp;C35,"open")</f>
        <v>open</v>
      </c>
      <c r="E35" s="6" t="s">
        <v>180</v>
      </c>
      <c r="F35" s="5" t="s">
        <v>75</v>
      </c>
      <c r="G35" s="5" t="s">
        <v>76</v>
      </c>
      <c r="H35" s="5" t="s">
        <v>58</v>
      </c>
    </row>
    <row r="36" customFormat="false" ht="23.85" hidden="false" customHeight="false" outlineLevel="0" collapsed="false">
      <c r="A36" s="7" t="s">
        <v>181</v>
      </c>
      <c r="B36" s="8" t="s">
        <v>182</v>
      </c>
      <c r="C36" s="7" t="s">
        <v>183</v>
      </c>
      <c r="D36" s="15" t="str">
        <f aca="false">HYPERLINK("https://doi.org/"&amp;C36,"open")</f>
        <v>open</v>
      </c>
      <c r="E36" s="8" t="s">
        <v>184</v>
      </c>
      <c r="F36" s="7" t="s">
        <v>75</v>
      </c>
      <c r="G36" s="16" t="s">
        <v>57</v>
      </c>
      <c r="H36" s="7" t="s">
        <v>58</v>
      </c>
    </row>
    <row r="37" customFormat="false" ht="23.85" hidden="false" customHeight="false" outlineLevel="0" collapsed="false">
      <c r="A37" s="5" t="s">
        <v>185</v>
      </c>
      <c r="B37" s="6" t="s">
        <v>186</v>
      </c>
      <c r="C37" s="5" t="s">
        <v>187</v>
      </c>
      <c r="D37" s="13" t="str">
        <f aca="false">HYPERLINK("https://doi.org/"&amp;C37,"open")</f>
        <v>open</v>
      </c>
      <c r="E37" s="6" t="s">
        <v>188</v>
      </c>
      <c r="F37" s="5" t="s">
        <v>75</v>
      </c>
      <c r="G37" s="14" t="s">
        <v>57</v>
      </c>
      <c r="H37" s="5" t="s">
        <v>58</v>
      </c>
    </row>
    <row r="38" customFormat="false" ht="35.05" hidden="false" customHeight="false" outlineLevel="0" collapsed="false">
      <c r="A38" s="7" t="s">
        <v>189</v>
      </c>
      <c r="B38" s="8" t="s">
        <v>190</v>
      </c>
      <c r="C38" s="7" t="s">
        <v>191</v>
      </c>
      <c r="D38" s="15" t="str">
        <f aca="false">HYPERLINK("https://doi.org/"&amp;C38,"open")</f>
        <v>open</v>
      </c>
      <c r="E38" s="8" t="s">
        <v>192</v>
      </c>
      <c r="F38" s="7" t="s">
        <v>75</v>
      </c>
      <c r="G38" s="7" t="s">
        <v>76</v>
      </c>
      <c r="H38" s="7" t="s">
        <v>58</v>
      </c>
    </row>
    <row r="39" customFormat="false" ht="23.85" hidden="false" customHeight="false" outlineLevel="0" collapsed="false">
      <c r="A39" s="5" t="s">
        <v>193</v>
      </c>
      <c r="B39" s="6" t="s">
        <v>194</v>
      </c>
      <c r="C39" s="5" t="s">
        <v>195</v>
      </c>
      <c r="D39" s="13" t="str">
        <f aca="false">HYPERLINK("https://doi.org/"&amp;C39,"open")</f>
        <v>open</v>
      </c>
      <c r="E39" s="6" t="s">
        <v>196</v>
      </c>
      <c r="F39" s="5" t="s">
        <v>75</v>
      </c>
      <c r="G39" s="5" t="s">
        <v>76</v>
      </c>
      <c r="H39" s="5" t="s">
        <v>58</v>
      </c>
    </row>
    <row r="40" customFormat="false" ht="23.85" hidden="false" customHeight="false" outlineLevel="0" collapsed="false">
      <c r="A40" s="7" t="s">
        <v>197</v>
      </c>
      <c r="B40" s="8" t="s">
        <v>198</v>
      </c>
      <c r="C40" s="7" t="s">
        <v>199</v>
      </c>
      <c r="D40" s="15" t="str">
        <f aca="false">HYPERLINK("https://doi.org/"&amp;C40,"open")</f>
        <v>open</v>
      </c>
      <c r="E40" s="8" t="s">
        <v>200</v>
      </c>
      <c r="F40" s="7" t="s">
        <v>56</v>
      </c>
      <c r="G40" s="7" t="s">
        <v>76</v>
      </c>
      <c r="H40" s="7" t="s">
        <v>58</v>
      </c>
    </row>
    <row r="41" customFormat="false" ht="23.85" hidden="false" customHeight="false" outlineLevel="0" collapsed="false">
      <c r="A41" s="5" t="s">
        <v>201</v>
      </c>
      <c r="B41" s="6" t="s">
        <v>202</v>
      </c>
      <c r="C41" s="5" t="s">
        <v>203</v>
      </c>
      <c r="D41" s="13" t="str">
        <f aca="false">HYPERLINK("https://doi.org/"&amp;C41,"open")</f>
        <v>open</v>
      </c>
      <c r="E41" s="6" t="s">
        <v>204</v>
      </c>
      <c r="F41" s="5" t="s">
        <v>56</v>
      </c>
      <c r="G41" s="5" t="s">
        <v>76</v>
      </c>
      <c r="H41" s="5" t="s">
        <v>58</v>
      </c>
    </row>
    <row r="42" customFormat="false" ht="35.05" hidden="false" customHeight="false" outlineLevel="0" collapsed="false">
      <c r="A42" s="7" t="s">
        <v>205</v>
      </c>
      <c r="B42" s="8" t="s">
        <v>206</v>
      </c>
      <c r="C42" s="7" t="s">
        <v>207</v>
      </c>
      <c r="D42" s="15" t="str">
        <f aca="false">HYPERLINK("https://doi.org/"&amp;C42,"open")</f>
        <v>open</v>
      </c>
      <c r="E42" s="8" t="s">
        <v>208</v>
      </c>
      <c r="F42" s="7" t="s">
        <v>56</v>
      </c>
      <c r="G42" s="16" t="s">
        <v>57</v>
      </c>
      <c r="H42" s="7" t="s">
        <v>58</v>
      </c>
    </row>
    <row r="43" customFormat="false" ht="46.25" hidden="false" customHeight="false" outlineLevel="0" collapsed="false">
      <c r="A43" s="5" t="s">
        <v>209</v>
      </c>
      <c r="B43" s="6" t="s">
        <v>210</v>
      </c>
      <c r="C43" s="5" t="s">
        <v>211</v>
      </c>
      <c r="D43" s="13" t="str">
        <f aca="false">HYPERLINK("https://doi.org/"&amp;C43,"open")</f>
        <v>open</v>
      </c>
      <c r="E43" s="6" t="s">
        <v>212</v>
      </c>
      <c r="F43" s="5" t="s">
        <v>56</v>
      </c>
      <c r="G43" s="14" t="s">
        <v>57</v>
      </c>
      <c r="H43" s="5" t="s">
        <v>58</v>
      </c>
    </row>
    <row r="44" customFormat="false" ht="35.05" hidden="false" customHeight="false" outlineLevel="0" collapsed="false">
      <c r="A44" s="7" t="s">
        <v>213</v>
      </c>
      <c r="B44" s="8" t="s">
        <v>214</v>
      </c>
      <c r="C44" s="7" t="s">
        <v>215</v>
      </c>
      <c r="D44" s="15" t="str">
        <f aca="false">HYPERLINK("https://doi.org/"&amp;C44,"open")</f>
        <v>open</v>
      </c>
      <c r="E44" s="8" t="s">
        <v>216</v>
      </c>
      <c r="F44" s="7" t="s">
        <v>56</v>
      </c>
      <c r="G44" s="16" t="s">
        <v>57</v>
      </c>
      <c r="H44" s="7" t="s">
        <v>58</v>
      </c>
    </row>
    <row r="45" customFormat="false" ht="35.05" hidden="false" customHeight="false" outlineLevel="0" collapsed="false">
      <c r="A45" s="5" t="s">
        <v>217</v>
      </c>
      <c r="B45" s="6" t="s">
        <v>218</v>
      </c>
      <c r="C45" s="5" t="s">
        <v>219</v>
      </c>
      <c r="D45" s="13" t="str">
        <f aca="false">HYPERLINK("https://doi.org/"&amp;C45,"open")</f>
        <v>open</v>
      </c>
      <c r="E45" s="6" t="s">
        <v>220</v>
      </c>
      <c r="F45" s="5" t="s">
        <v>56</v>
      </c>
      <c r="G45" s="14" t="s">
        <v>57</v>
      </c>
      <c r="H45" s="5" t="s">
        <v>58</v>
      </c>
    </row>
    <row r="46" customFormat="false" ht="35.05" hidden="false" customHeight="false" outlineLevel="0" collapsed="false">
      <c r="A46" s="7" t="s">
        <v>221</v>
      </c>
      <c r="B46" s="8" t="s">
        <v>222</v>
      </c>
      <c r="C46" s="7" t="s">
        <v>223</v>
      </c>
      <c r="D46" s="15" t="str">
        <f aca="false">HYPERLINK("https://doi.org/"&amp;C46,"open")</f>
        <v>open</v>
      </c>
      <c r="E46" s="8" t="s">
        <v>224</v>
      </c>
      <c r="F46" s="7" t="s">
        <v>56</v>
      </c>
      <c r="G46" s="16" t="s">
        <v>57</v>
      </c>
      <c r="H46" s="7" t="s">
        <v>58</v>
      </c>
    </row>
    <row r="47" customFormat="false" ht="35.05" hidden="false" customHeight="false" outlineLevel="0" collapsed="false">
      <c r="A47" s="5" t="s">
        <v>225</v>
      </c>
      <c r="B47" s="6" t="s">
        <v>226</v>
      </c>
      <c r="C47" s="5" t="s">
        <v>227</v>
      </c>
      <c r="D47" s="13" t="str">
        <f aca="false">HYPERLINK("https://doi.org/"&amp;C47,"open")</f>
        <v>open</v>
      </c>
      <c r="E47" s="6" t="s">
        <v>228</v>
      </c>
      <c r="F47" s="5" t="s">
        <v>56</v>
      </c>
      <c r="G47" s="14" t="s">
        <v>57</v>
      </c>
      <c r="H47" s="5" t="s">
        <v>58</v>
      </c>
    </row>
    <row r="48" customFormat="false" ht="35.05" hidden="false" customHeight="false" outlineLevel="0" collapsed="false">
      <c r="A48" s="7" t="s">
        <v>229</v>
      </c>
      <c r="B48" s="8" t="s">
        <v>230</v>
      </c>
      <c r="C48" s="7" t="s">
        <v>231</v>
      </c>
      <c r="D48" s="15" t="str">
        <f aca="false">HYPERLINK("https://doi.org/"&amp;C48,"open")</f>
        <v>open</v>
      </c>
      <c r="E48" s="8" t="s">
        <v>232</v>
      </c>
      <c r="F48" s="7" t="s">
        <v>56</v>
      </c>
      <c r="G48" s="7" t="s">
        <v>76</v>
      </c>
      <c r="H48" s="7" t="s">
        <v>58</v>
      </c>
    </row>
    <row r="49" customFormat="false" ht="15" hidden="false" customHeight="false" outlineLevel="0" collapsed="false">
      <c r="A49" s="5" t="s">
        <v>233</v>
      </c>
      <c r="B49" s="6" t="s">
        <v>234</v>
      </c>
      <c r="C49" s="5" t="s">
        <v>235</v>
      </c>
      <c r="D49" s="13" t="str">
        <f aca="false">HYPERLINK("https://doi.org/"&amp;C49,"open")</f>
        <v>open</v>
      </c>
      <c r="E49" s="6"/>
      <c r="F49" s="5" t="s">
        <v>56</v>
      </c>
      <c r="G49" s="14" t="s">
        <v>57</v>
      </c>
      <c r="H49" s="5" t="s">
        <v>236</v>
      </c>
    </row>
    <row r="50" customFormat="false" ht="46.25" hidden="false" customHeight="false" outlineLevel="0" collapsed="false">
      <c r="A50" s="7" t="s">
        <v>237</v>
      </c>
      <c r="B50" s="8" t="s">
        <v>238</v>
      </c>
      <c r="C50" s="7" t="s">
        <v>239</v>
      </c>
      <c r="D50" s="15" t="str">
        <f aca="false">HYPERLINK("https://doi.org/"&amp;C50,"open")</f>
        <v>open</v>
      </c>
      <c r="E50" s="8"/>
      <c r="F50" s="7" t="s">
        <v>56</v>
      </c>
      <c r="G50" s="16" t="s">
        <v>57</v>
      </c>
      <c r="H50" s="7" t="s">
        <v>236</v>
      </c>
    </row>
    <row r="51" customFormat="false" ht="35.05" hidden="false" customHeight="false" outlineLevel="0" collapsed="false">
      <c r="A51" s="5" t="s">
        <v>240</v>
      </c>
      <c r="B51" s="6" t="s">
        <v>241</v>
      </c>
      <c r="C51" s="5" t="s">
        <v>242</v>
      </c>
      <c r="D51" s="13" t="str">
        <f aca="false">HYPERLINK("https://doi.org/"&amp;C51,"open")</f>
        <v>open</v>
      </c>
      <c r="E51" s="6"/>
      <c r="F51" s="5" t="s">
        <v>56</v>
      </c>
      <c r="G51" s="14" t="s">
        <v>57</v>
      </c>
      <c r="H51" s="5" t="s">
        <v>236</v>
      </c>
    </row>
    <row r="52" customFormat="false" ht="46.25" hidden="false" customHeight="false" outlineLevel="0" collapsed="false">
      <c r="A52" s="7" t="s">
        <v>243</v>
      </c>
      <c r="B52" s="8" t="s">
        <v>244</v>
      </c>
      <c r="C52" s="7" t="s">
        <v>245</v>
      </c>
      <c r="D52" s="15" t="str">
        <f aca="false">HYPERLINK("https://doi.org/"&amp;C52,"open")</f>
        <v>open</v>
      </c>
      <c r="E52" s="8"/>
      <c r="F52" s="7" t="s">
        <v>56</v>
      </c>
      <c r="G52" s="16" t="s">
        <v>57</v>
      </c>
      <c r="H52" s="7" t="s">
        <v>236</v>
      </c>
    </row>
    <row r="53" customFormat="false" ht="46.25" hidden="false" customHeight="false" outlineLevel="0" collapsed="false">
      <c r="A53" s="5" t="s">
        <v>246</v>
      </c>
      <c r="B53" s="6" t="s">
        <v>247</v>
      </c>
      <c r="C53" s="5" t="s">
        <v>248</v>
      </c>
      <c r="D53" s="13" t="str">
        <f aca="false">HYPERLINK("https://doi.org/"&amp;C53,"open")</f>
        <v>open</v>
      </c>
      <c r="E53" s="6"/>
      <c r="F53" s="5" t="s">
        <v>56</v>
      </c>
      <c r="G53" s="14" t="s">
        <v>57</v>
      </c>
      <c r="H53" s="5" t="s">
        <v>236</v>
      </c>
    </row>
    <row r="54" customFormat="false" ht="35.05" hidden="false" customHeight="false" outlineLevel="0" collapsed="false">
      <c r="A54" s="7" t="s">
        <v>249</v>
      </c>
      <c r="B54" s="8" t="s">
        <v>250</v>
      </c>
      <c r="C54" s="7" t="s">
        <v>251</v>
      </c>
      <c r="D54" s="15" t="str">
        <f aca="false">HYPERLINK("https://doi.org/"&amp;C54,"open")</f>
        <v>open</v>
      </c>
      <c r="E54" s="8"/>
      <c r="F54" s="7" t="s">
        <v>56</v>
      </c>
      <c r="G54" s="16" t="s">
        <v>57</v>
      </c>
      <c r="H54" s="7" t="s">
        <v>236</v>
      </c>
    </row>
    <row r="55" customFormat="false" ht="23.85" hidden="false" customHeight="false" outlineLevel="0" collapsed="false">
      <c r="A55" s="5" t="s">
        <v>252</v>
      </c>
      <c r="B55" s="6" t="s">
        <v>253</v>
      </c>
      <c r="C55" s="5" t="s">
        <v>254</v>
      </c>
      <c r="D55" s="13" t="str">
        <f aca="false">HYPERLINK("https://doi.org/"&amp;C55,"open")</f>
        <v>open</v>
      </c>
      <c r="E55" s="6"/>
      <c r="F55" s="5" t="s">
        <v>56</v>
      </c>
      <c r="G55" s="14" t="s">
        <v>57</v>
      </c>
      <c r="H55" s="5" t="s">
        <v>236</v>
      </c>
    </row>
    <row r="56" customFormat="false" ht="46.25" hidden="false" customHeight="false" outlineLevel="0" collapsed="false">
      <c r="A56" s="7" t="s">
        <v>255</v>
      </c>
      <c r="B56" s="8" t="s">
        <v>256</v>
      </c>
      <c r="C56" s="7" t="s">
        <v>257</v>
      </c>
      <c r="D56" s="15" t="str">
        <f aca="false">HYPERLINK("https://doi.org/"&amp;C56,"open")</f>
        <v>open</v>
      </c>
      <c r="E56" s="8"/>
      <c r="F56" s="7" t="s">
        <v>56</v>
      </c>
      <c r="G56" s="16" t="s">
        <v>57</v>
      </c>
      <c r="H56" s="7" t="s">
        <v>236</v>
      </c>
    </row>
    <row r="57" customFormat="false" ht="35.05" hidden="false" customHeight="false" outlineLevel="0" collapsed="false">
      <c r="A57" s="5" t="s">
        <v>258</v>
      </c>
      <c r="B57" s="6" t="s">
        <v>259</v>
      </c>
      <c r="C57" s="5" t="s">
        <v>260</v>
      </c>
      <c r="D57" s="13" t="str">
        <f aca="false">HYPERLINK("https://doi.org/"&amp;C57,"open")</f>
        <v>open</v>
      </c>
      <c r="E57" s="6"/>
      <c r="F57" s="5" t="s">
        <v>75</v>
      </c>
      <c r="G57" s="14" t="s">
        <v>57</v>
      </c>
      <c r="H57" s="5" t="s">
        <v>236</v>
      </c>
    </row>
    <row r="58" customFormat="false" ht="35.05" hidden="false" customHeight="false" outlineLevel="0" collapsed="false">
      <c r="A58" s="7" t="s">
        <v>261</v>
      </c>
      <c r="B58" s="8" t="s">
        <v>262</v>
      </c>
      <c r="C58" s="7" t="s">
        <v>263</v>
      </c>
      <c r="D58" s="15" t="str">
        <f aca="false">HYPERLINK("https://doi.org/"&amp;C58,"open")</f>
        <v>open</v>
      </c>
      <c r="E58" s="8"/>
      <c r="F58" s="7" t="s">
        <v>75</v>
      </c>
      <c r="G58" s="16" t="s">
        <v>57</v>
      </c>
      <c r="H58" s="7" t="s">
        <v>236</v>
      </c>
    </row>
    <row r="59" customFormat="false" ht="23.85" hidden="false" customHeight="false" outlineLevel="0" collapsed="false">
      <c r="A59" s="5" t="s">
        <v>264</v>
      </c>
      <c r="B59" s="6" t="s">
        <v>265</v>
      </c>
      <c r="C59" s="5" t="s">
        <v>266</v>
      </c>
      <c r="D59" s="13" t="str">
        <f aca="false">HYPERLINK("https://doi.org/"&amp;C59,"open")</f>
        <v>open</v>
      </c>
      <c r="E59" s="6"/>
      <c r="F59" s="5" t="s">
        <v>75</v>
      </c>
      <c r="G59" s="14" t="s">
        <v>57</v>
      </c>
      <c r="H59" s="5" t="s">
        <v>236</v>
      </c>
    </row>
    <row r="60" customFormat="false" ht="15" hidden="false" customHeight="false" outlineLevel="0" collapsed="false">
      <c r="A60" s="7" t="s">
        <v>267</v>
      </c>
      <c r="B60" s="8" t="s">
        <v>268</v>
      </c>
      <c r="C60" s="7" t="s">
        <v>269</v>
      </c>
      <c r="D60" s="15" t="str">
        <f aca="false">HYPERLINK("https://doi.org/"&amp;C60,"open")</f>
        <v>open</v>
      </c>
      <c r="E60" s="8"/>
      <c r="F60" s="7" t="s">
        <v>56</v>
      </c>
      <c r="G60" s="16" t="s">
        <v>57</v>
      </c>
      <c r="H60" s="7" t="s">
        <v>236</v>
      </c>
    </row>
    <row r="61" customFormat="false" ht="15" hidden="false" customHeight="false" outlineLevel="0" collapsed="false">
      <c r="A61" s="5" t="s">
        <v>270</v>
      </c>
      <c r="B61" s="6" t="s">
        <v>271</v>
      </c>
      <c r="C61" s="5" t="s">
        <v>272</v>
      </c>
      <c r="D61" s="13" t="str">
        <f aca="false">HYPERLINK("https://doi.org/"&amp;C61,"open")</f>
        <v>open</v>
      </c>
      <c r="E61" s="6"/>
      <c r="F61" s="5" t="s">
        <v>56</v>
      </c>
      <c r="G61" s="14" t="s">
        <v>57</v>
      </c>
      <c r="H61" s="5" t="s">
        <v>236</v>
      </c>
    </row>
    <row r="62" customFormat="false" ht="15" hidden="false" customHeight="false" outlineLevel="0" collapsed="false">
      <c r="A62" s="7" t="s">
        <v>273</v>
      </c>
      <c r="B62" s="8" t="s">
        <v>274</v>
      </c>
      <c r="C62" s="7" t="s">
        <v>275</v>
      </c>
      <c r="D62" s="15" t="str">
        <f aca="false">HYPERLINK("https://doi.org/"&amp;C62,"open")</f>
        <v>open</v>
      </c>
      <c r="E62" s="8"/>
      <c r="F62" s="7" t="s">
        <v>56</v>
      </c>
      <c r="G62" s="16" t="s">
        <v>57</v>
      </c>
      <c r="H62" s="7" t="s">
        <v>236</v>
      </c>
    </row>
    <row r="63" customFormat="false" ht="57.45" hidden="false" customHeight="false" outlineLevel="0" collapsed="false">
      <c r="A63" s="5" t="s">
        <v>276</v>
      </c>
      <c r="B63" s="6" t="s">
        <v>277</v>
      </c>
      <c r="C63" s="5" t="s">
        <v>278</v>
      </c>
      <c r="D63" s="13" t="str">
        <f aca="false">HYPERLINK("https://doi.org/"&amp;C63,"open")</f>
        <v>open</v>
      </c>
      <c r="E63" s="6"/>
      <c r="F63" s="5" t="s">
        <v>56</v>
      </c>
      <c r="G63" s="14" t="s">
        <v>57</v>
      </c>
      <c r="H63" s="5" t="s">
        <v>236</v>
      </c>
    </row>
    <row r="64" customFormat="false" ht="46.25" hidden="false" customHeight="false" outlineLevel="0" collapsed="false">
      <c r="A64" s="7" t="s">
        <v>279</v>
      </c>
      <c r="B64" s="8" t="s">
        <v>280</v>
      </c>
      <c r="C64" s="7" t="s">
        <v>281</v>
      </c>
      <c r="D64" s="15" t="str">
        <f aca="false">HYPERLINK("https://doi.org/"&amp;C64,"open")</f>
        <v>open</v>
      </c>
      <c r="E64" s="8"/>
      <c r="F64" s="7" t="s">
        <v>56</v>
      </c>
      <c r="G64" s="16" t="s">
        <v>57</v>
      </c>
      <c r="H64" s="7" t="s">
        <v>236</v>
      </c>
    </row>
    <row r="65" customFormat="false" ht="15" hidden="false" customHeight="false" outlineLevel="0" collapsed="false">
      <c r="A65" s="5" t="s">
        <v>282</v>
      </c>
      <c r="B65" s="6" t="s">
        <v>283</v>
      </c>
      <c r="C65" s="5" t="s">
        <v>284</v>
      </c>
      <c r="D65" s="13" t="str">
        <f aca="false">HYPERLINK("https://doi.org/"&amp;C65,"open")</f>
        <v>open</v>
      </c>
      <c r="E65" s="6"/>
      <c r="F65" s="5" t="s">
        <v>56</v>
      </c>
      <c r="G65" s="14" t="s">
        <v>57</v>
      </c>
      <c r="H65" s="5" t="s">
        <v>236</v>
      </c>
    </row>
    <row r="66" customFormat="false" ht="15" hidden="false" customHeight="false" outlineLevel="0" collapsed="false">
      <c r="A66" s="7" t="s">
        <v>285</v>
      </c>
      <c r="B66" s="8" t="s">
        <v>286</v>
      </c>
      <c r="C66" s="7" t="s">
        <v>287</v>
      </c>
      <c r="D66" s="15" t="str">
        <f aca="false">HYPERLINK("https://doi.org/"&amp;C66,"open")</f>
        <v>open</v>
      </c>
      <c r="E66" s="8"/>
      <c r="F66" s="7" t="s">
        <v>56</v>
      </c>
      <c r="G66" s="16" t="s">
        <v>57</v>
      </c>
      <c r="H66" s="7" t="s">
        <v>236</v>
      </c>
    </row>
    <row r="67" customFormat="false" ht="15" hidden="false" customHeight="false" outlineLevel="0" collapsed="false">
      <c r="A67" s="5" t="s">
        <v>288</v>
      </c>
      <c r="B67" s="6" t="s">
        <v>289</v>
      </c>
      <c r="C67" s="5" t="s">
        <v>290</v>
      </c>
      <c r="D67" s="13" t="str">
        <f aca="false">HYPERLINK("https://doi.org/"&amp;C67,"open")</f>
        <v>open</v>
      </c>
      <c r="E67" s="6"/>
      <c r="F67" s="5" t="s">
        <v>56</v>
      </c>
      <c r="G67" s="14" t="s">
        <v>57</v>
      </c>
      <c r="H67" s="5" t="s">
        <v>236</v>
      </c>
    </row>
    <row r="68" customFormat="false" ht="15" hidden="false" customHeight="false" outlineLevel="0" collapsed="false">
      <c r="A68" s="7" t="s">
        <v>291</v>
      </c>
      <c r="B68" s="8" t="s">
        <v>292</v>
      </c>
      <c r="C68" s="7" t="s">
        <v>293</v>
      </c>
      <c r="D68" s="15" t="str">
        <f aca="false">HYPERLINK("https://doi.org/"&amp;C68,"open")</f>
        <v>open</v>
      </c>
      <c r="E68" s="8"/>
      <c r="F68" s="7" t="s">
        <v>56</v>
      </c>
      <c r="G68" s="16" t="s">
        <v>57</v>
      </c>
      <c r="H68" s="7" t="s">
        <v>236</v>
      </c>
    </row>
    <row r="69" customFormat="false" ht="15" hidden="false" customHeight="false" outlineLevel="0" collapsed="false">
      <c r="A69" s="5" t="s">
        <v>294</v>
      </c>
      <c r="B69" s="6" t="s">
        <v>295</v>
      </c>
      <c r="C69" s="5" t="s">
        <v>296</v>
      </c>
      <c r="D69" s="13" t="str">
        <f aca="false">HYPERLINK("https://doi.org/"&amp;C69,"open")</f>
        <v>open</v>
      </c>
      <c r="E69" s="6"/>
      <c r="F69" s="5" t="s">
        <v>56</v>
      </c>
      <c r="G69" s="14" t="s">
        <v>57</v>
      </c>
      <c r="H69" s="5" t="s">
        <v>236</v>
      </c>
    </row>
    <row r="70" customFormat="false" ht="15" hidden="false" customHeight="false" outlineLevel="0" collapsed="false">
      <c r="A70" s="7" t="s">
        <v>297</v>
      </c>
      <c r="B70" s="8" t="s">
        <v>298</v>
      </c>
      <c r="C70" s="7" t="s">
        <v>299</v>
      </c>
      <c r="D70" s="15" t="str">
        <f aca="false">HYPERLINK("https://doi.org/"&amp;C70,"open")</f>
        <v>open</v>
      </c>
      <c r="E70" s="8"/>
      <c r="F70" s="7" t="s">
        <v>75</v>
      </c>
      <c r="G70" s="16" t="s">
        <v>57</v>
      </c>
      <c r="H70" s="7" t="s">
        <v>236</v>
      </c>
    </row>
    <row r="71" customFormat="false" ht="23.85" hidden="false" customHeight="false" outlineLevel="0" collapsed="false">
      <c r="A71" s="5" t="s">
        <v>300</v>
      </c>
      <c r="B71" s="6" t="s">
        <v>301</v>
      </c>
      <c r="C71" s="5" t="s">
        <v>302</v>
      </c>
      <c r="D71" s="13" t="str">
        <f aca="false">HYPERLINK("https://doi.org/"&amp;C71,"open")</f>
        <v>open</v>
      </c>
      <c r="E71" s="6"/>
      <c r="F71" s="5" t="s">
        <v>56</v>
      </c>
      <c r="G71" s="14" t="s">
        <v>57</v>
      </c>
      <c r="H71" s="5" t="s">
        <v>236</v>
      </c>
    </row>
    <row r="72" customFormat="false" ht="23.85" hidden="false" customHeight="false" outlineLevel="0" collapsed="false">
      <c r="A72" s="7" t="s">
        <v>303</v>
      </c>
      <c r="B72" s="8" t="s">
        <v>304</v>
      </c>
      <c r="C72" s="7" t="s">
        <v>305</v>
      </c>
      <c r="D72" s="15" t="str">
        <f aca="false">HYPERLINK("https://doi.org/"&amp;C72,"open")</f>
        <v>open</v>
      </c>
      <c r="E72" s="8"/>
      <c r="F72" s="7" t="s">
        <v>56</v>
      </c>
      <c r="G72" s="16" t="s">
        <v>57</v>
      </c>
      <c r="H72" s="7" t="s">
        <v>236</v>
      </c>
    </row>
    <row r="73" customFormat="false" ht="46.25" hidden="false" customHeight="false" outlineLevel="0" collapsed="false">
      <c r="A73" s="5" t="s">
        <v>306</v>
      </c>
      <c r="B73" s="6" t="s">
        <v>307</v>
      </c>
      <c r="C73" s="5" t="s">
        <v>308</v>
      </c>
      <c r="D73" s="13" t="str">
        <f aca="false">HYPERLINK("https://doi.org/"&amp;C73,"open")</f>
        <v>open</v>
      </c>
      <c r="E73" s="6"/>
      <c r="F73" s="5" t="s">
        <v>56</v>
      </c>
      <c r="G73" s="14" t="s">
        <v>57</v>
      </c>
      <c r="H73" s="5" t="s">
        <v>236</v>
      </c>
    </row>
    <row r="74" customFormat="false" ht="23.85" hidden="false" customHeight="false" outlineLevel="0" collapsed="false">
      <c r="A74" s="7" t="s">
        <v>309</v>
      </c>
      <c r="B74" s="8" t="s">
        <v>310</v>
      </c>
      <c r="C74" s="7" t="s">
        <v>311</v>
      </c>
      <c r="D74" s="15" t="str">
        <f aca="false">HYPERLINK("https://doi.org/"&amp;C74,"open")</f>
        <v>open</v>
      </c>
      <c r="E74" s="8"/>
      <c r="F74" s="7" t="s">
        <v>56</v>
      </c>
      <c r="G74" s="16" t="s">
        <v>57</v>
      </c>
      <c r="H74" s="7" t="s">
        <v>236</v>
      </c>
    </row>
    <row r="75" customFormat="false" ht="23.85" hidden="false" customHeight="false" outlineLevel="0" collapsed="false">
      <c r="A75" s="5" t="s">
        <v>312</v>
      </c>
      <c r="B75" s="6" t="s">
        <v>313</v>
      </c>
      <c r="C75" s="5" t="s">
        <v>314</v>
      </c>
      <c r="D75" s="13" t="str">
        <f aca="false">HYPERLINK("https://doi.org/"&amp;C75,"open")</f>
        <v>open</v>
      </c>
      <c r="E75" s="6"/>
      <c r="F75" s="5" t="s">
        <v>56</v>
      </c>
      <c r="G75" s="14" t="s">
        <v>57</v>
      </c>
      <c r="H75" s="5" t="s">
        <v>236</v>
      </c>
    </row>
    <row r="76" customFormat="false" ht="35.05" hidden="false" customHeight="false" outlineLevel="0" collapsed="false">
      <c r="A76" s="7" t="s">
        <v>315</v>
      </c>
      <c r="B76" s="8" t="s">
        <v>316</v>
      </c>
      <c r="C76" s="7" t="s">
        <v>317</v>
      </c>
      <c r="D76" s="15" t="str">
        <f aca="false">HYPERLINK("https://doi.org/"&amp;C76,"open")</f>
        <v>open</v>
      </c>
      <c r="E76" s="8"/>
      <c r="F76" s="7" t="s">
        <v>56</v>
      </c>
      <c r="G76" s="16" t="s">
        <v>57</v>
      </c>
      <c r="H76" s="7" t="s">
        <v>236</v>
      </c>
    </row>
    <row r="77" customFormat="false" ht="23.85" hidden="false" customHeight="false" outlineLevel="0" collapsed="false">
      <c r="A77" s="5" t="s">
        <v>318</v>
      </c>
      <c r="B77" s="6" t="s">
        <v>319</v>
      </c>
      <c r="C77" s="5" t="s">
        <v>320</v>
      </c>
      <c r="D77" s="13" t="str">
        <f aca="false">HYPERLINK("https://doi.org/"&amp;C77,"open")</f>
        <v>open</v>
      </c>
      <c r="E77" s="6"/>
      <c r="F77" s="5" t="s">
        <v>56</v>
      </c>
      <c r="G77" s="14" t="s">
        <v>57</v>
      </c>
      <c r="H77" s="5" t="s">
        <v>236</v>
      </c>
    </row>
    <row r="78" customFormat="false" ht="23.85" hidden="false" customHeight="false" outlineLevel="0" collapsed="false">
      <c r="A78" s="7" t="s">
        <v>321</v>
      </c>
      <c r="B78" s="8" t="s">
        <v>322</v>
      </c>
      <c r="C78" s="7" t="s">
        <v>323</v>
      </c>
      <c r="D78" s="15" t="str">
        <f aca="false">HYPERLINK("https://doi.org/"&amp;C78,"open")</f>
        <v>open</v>
      </c>
      <c r="E78" s="8"/>
      <c r="F78" s="7" t="s">
        <v>56</v>
      </c>
      <c r="G78" s="16" t="s">
        <v>57</v>
      </c>
      <c r="H78" s="7" t="s">
        <v>236</v>
      </c>
    </row>
    <row r="79" customFormat="false" ht="35.05" hidden="false" customHeight="false" outlineLevel="0" collapsed="false">
      <c r="A79" s="5" t="s">
        <v>324</v>
      </c>
      <c r="B79" s="6" t="s">
        <v>325</v>
      </c>
      <c r="C79" s="5" t="s">
        <v>326</v>
      </c>
      <c r="D79" s="13" t="str">
        <f aca="false">HYPERLINK("https://doi.org/"&amp;C79,"open")</f>
        <v>open</v>
      </c>
      <c r="E79" s="6"/>
      <c r="F79" s="5" t="s">
        <v>56</v>
      </c>
      <c r="G79" s="14" t="s">
        <v>57</v>
      </c>
      <c r="H79" s="5" t="s">
        <v>236</v>
      </c>
    </row>
    <row r="80" customFormat="false" ht="23.85" hidden="false" customHeight="false" outlineLevel="0" collapsed="false">
      <c r="A80" s="7" t="s">
        <v>327</v>
      </c>
      <c r="B80" s="8" t="s">
        <v>328</v>
      </c>
      <c r="C80" s="7" t="s">
        <v>329</v>
      </c>
      <c r="D80" s="15" t="str">
        <f aca="false">HYPERLINK("https://doi.org/"&amp;C80,"open")</f>
        <v>open</v>
      </c>
      <c r="E80" s="8"/>
      <c r="F80" s="7" t="s">
        <v>56</v>
      </c>
      <c r="G80" s="16" t="s">
        <v>57</v>
      </c>
      <c r="H80" s="7" t="s">
        <v>236</v>
      </c>
    </row>
    <row r="81" customFormat="false" ht="23.85" hidden="false" customHeight="false" outlineLevel="0" collapsed="false">
      <c r="A81" s="5" t="s">
        <v>330</v>
      </c>
      <c r="B81" s="6" t="s">
        <v>331</v>
      </c>
      <c r="C81" s="5" t="s">
        <v>332</v>
      </c>
      <c r="D81" s="13" t="str">
        <f aca="false">HYPERLINK("https://doi.org/"&amp;C81,"open")</f>
        <v>open</v>
      </c>
      <c r="E81" s="6"/>
      <c r="F81" s="5" t="s">
        <v>56</v>
      </c>
      <c r="G81" s="14" t="s">
        <v>57</v>
      </c>
      <c r="H81" s="5" t="s">
        <v>236</v>
      </c>
    </row>
    <row r="82" customFormat="false" ht="35.05" hidden="false" customHeight="false" outlineLevel="0" collapsed="false">
      <c r="A82" s="7" t="s">
        <v>333</v>
      </c>
      <c r="B82" s="8" t="s">
        <v>334</v>
      </c>
      <c r="C82" s="7" t="s">
        <v>335</v>
      </c>
      <c r="D82" s="15" t="str">
        <f aca="false">HYPERLINK("https://doi.org/"&amp;C82,"open")</f>
        <v>open</v>
      </c>
      <c r="E82" s="8"/>
      <c r="F82" s="7" t="s">
        <v>56</v>
      </c>
      <c r="G82" s="16" t="s">
        <v>57</v>
      </c>
      <c r="H82" s="7" t="s">
        <v>236</v>
      </c>
    </row>
    <row r="83" customFormat="false" ht="35.05" hidden="false" customHeight="false" outlineLevel="0" collapsed="false">
      <c r="A83" s="5" t="s">
        <v>336</v>
      </c>
      <c r="B83" s="6" t="s">
        <v>337</v>
      </c>
      <c r="C83" s="5" t="s">
        <v>338</v>
      </c>
      <c r="D83" s="13" t="str">
        <f aca="false">HYPERLINK("https://doi.org/"&amp;C83,"open")</f>
        <v>open</v>
      </c>
      <c r="E83" s="6"/>
      <c r="F83" s="5" t="s">
        <v>56</v>
      </c>
      <c r="G83" s="14" t="s">
        <v>57</v>
      </c>
      <c r="H83" s="5" t="s">
        <v>236</v>
      </c>
    </row>
    <row r="84" customFormat="false" ht="46.25" hidden="false" customHeight="false" outlineLevel="0" collapsed="false">
      <c r="A84" s="7" t="s">
        <v>339</v>
      </c>
      <c r="B84" s="8" t="s">
        <v>340</v>
      </c>
      <c r="C84" s="7" t="s">
        <v>341</v>
      </c>
      <c r="D84" s="15" t="str">
        <f aca="false">HYPERLINK("https://doi.org/"&amp;C84,"open")</f>
        <v>open</v>
      </c>
      <c r="E84" s="8"/>
      <c r="F84" s="7" t="s">
        <v>56</v>
      </c>
      <c r="G84" s="16" t="s">
        <v>57</v>
      </c>
      <c r="H84" s="7" t="s">
        <v>236</v>
      </c>
    </row>
    <row r="85" customFormat="false" ht="23.85" hidden="false" customHeight="false" outlineLevel="0" collapsed="false">
      <c r="A85" s="5" t="s">
        <v>342</v>
      </c>
      <c r="B85" s="6" t="s">
        <v>343</v>
      </c>
      <c r="C85" s="5" t="s">
        <v>344</v>
      </c>
      <c r="D85" s="13" t="str">
        <f aca="false">HYPERLINK("https://doi.org/"&amp;C85,"open")</f>
        <v>open</v>
      </c>
      <c r="E85" s="6"/>
      <c r="F85" s="5" t="s">
        <v>75</v>
      </c>
      <c r="G85" s="14" t="s">
        <v>57</v>
      </c>
      <c r="H85" s="5" t="s">
        <v>236</v>
      </c>
    </row>
    <row r="86" customFormat="false" ht="15" hidden="false" customHeight="false" outlineLevel="0" collapsed="false">
      <c r="A86" s="7" t="s">
        <v>345</v>
      </c>
      <c r="B86" s="8"/>
      <c r="C86" s="7"/>
      <c r="D86" s="15" t="str">
        <f aca="false">HYPERLINK("https://doi.org/"&amp;C86,"open")</f>
        <v>open</v>
      </c>
      <c r="E86" s="8"/>
      <c r="F86" s="7"/>
      <c r="G86" s="7" t="s">
        <v>76</v>
      </c>
      <c r="H86" s="7" t="s">
        <v>236</v>
      </c>
    </row>
    <row r="87" customFormat="false" ht="15" hidden="false" customHeight="false" outlineLevel="0" collapsed="false">
      <c r="A87" s="5" t="s">
        <v>346</v>
      </c>
      <c r="B87" s="6"/>
      <c r="C87" s="5" t="s">
        <v>347</v>
      </c>
      <c r="D87" s="13" t="str">
        <f aca="false">HYPERLINK("https://doi.org/"&amp;C87,"open")</f>
        <v>open</v>
      </c>
      <c r="E87" s="6"/>
      <c r="F87" s="5"/>
      <c r="G87" s="5" t="s">
        <v>76</v>
      </c>
      <c r="H87" s="5" t="s">
        <v>236</v>
      </c>
    </row>
    <row r="88" customFormat="false" ht="15" hidden="false" customHeight="false" outlineLevel="0" collapsed="false">
      <c r="A88" s="7" t="s">
        <v>348</v>
      </c>
      <c r="B88" s="8"/>
      <c r="C88" s="7" t="s">
        <v>349</v>
      </c>
      <c r="D88" s="15" t="str">
        <f aca="false">HYPERLINK("https://doi.org/"&amp;C88,"open")</f>
        <v>open</v>
      </c>
      <c r="E88" s="8"/>
      <c r="F88" s="7"/>
      <c r="G88" s="7" t="s">
        <v>76</v>
      </c>
      <c r="H88" s="7" t="s">
        <v>236</v>
      </c>
    </row>
    <row r="89" customFormat="false" ht="15" hidden="false" customHeight="false" outlineLevel="0" collapsed="false">
      <c r="A89" s="5" t="s">
        <v>350</v>
      </c>
      <c r="B89" s="6"/>
      <c r="C89" s="5" t="s">
        <v>351</v>
      </c>
      <c r="D89" s="13" t="str">
        <f aca="false">HYPERLINK("https://doi.org/"&amp;C89,"open")</f>
        <v>open</v>
      </c>
      <c r="E89" s="6"/>
      <c r="F89" s="5" t="s">
        <v>56</v>
      </c>
      <c r="G89" s="14" t="s">
        <v>57</v>
      </c>
      <c r="H89" s="5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4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352</v>
      </c>
    </row>
    <row r="2" customFormat="false" ht="15" hidden="false" customHeight="false" outlineLevel="0" collapsed="false">
      <c r="A2" s="2" t="s">
        <v>353</v>
      </c>
    </row>
    <row r="4" customFormat="false" ht="15" hidden="false" customHeight="false" outlineLevel="0" collapsed="false">
      <c r="A4" s="4" t="s">
        <v>354</v>
      </c>
      <c r="B4" s="4" t="s">
        <v>355</v>
      </c>
      <c r="C4" s="4" t="s">
        <v>356</v>
      </c>
      <c r="D4" s="4" t="s">
        <v>357</v>
      </c>
      <c r="E4" s="4" t="s">
        <v>358</v>
      </c>
    </row>
    <row r="5" customFormat="false" ht="15" hidden="false" customHeight="false" outlineLevel="0" collapsed="false">
      <c r="A5" s="9" t="s">
        <v>359</v>
      </c>
      <c r="B5" s="17" t="n">
        <v>1.602176634E-019</v>
      </c>
      <c r="C5" s="7" t="s">
        <v>360</v>
      </c>
      <c r="D5" s="8" t="s">
        <v>361</v>
      </c>
      <c r="E5" s="8" t="s">
        <v>362</v>
      </c>
    </row>
    <row r="6" customFormat="false" ht="15" hidden="false" customHeight="false" outlineLevel="0" collapsed="false">
      <c r="A6" s="12" t="s">
        <v>363</v>
      </c>
      <c r="B6" s="18" t="n">
        <v>1.380649E-023</v>
      </c>
      <c r="C6" s="5" t="s">
        <v>364</v>
      </c>
      <c r="D6" s="6" t="s">
        <v>365</v>
      </c>
      <c r="E6" s="6" t="s">
        <v>362</v>
      </c>
    </row>
    <row r="7" customFormat="false" ht="15" hidden="false" customHeight="false" outlineLevel="0" collapsed="false">
      <c r="A7" s="9" t="s">
        <v>366</v>
      </c>
      <c r="B7" s="17" t="n">
        <v>6.62607015E-034</v>
      </c>
      <c r="C7" s="7" t="s">
        <v>367</v>
      </c>
      <c r="D7" s="8" t="s">
        <v>368</v>
      </c>
      <c r="E7" s="8" t="s">
        <v>362</v>
      </c>
    </row>
    <row r="8" customFormat="false" ht="15" hidden="false" customHeight="false" outlineLevel="0" collapsed="false">
      <c r="A8" s="12" t="s">
        <v>369</v>
      </c>
      <c r="B8" s="18" t="n">
        <v>299792458</v>
      </c>
      <c r="C8" s="5" t="s">
        <v>370</v>
      </c>
      <c r="D8" s="6" t="s">
        <v>371</v>
      </c>
      <c r="E8" s="6" t="s">
        <v>362</v>
      </c>
    </row>
    <row r="9" customFormat="false" ht="15" hidden="false" customHeight="false" outlineLevel="0" collapsed="false">
      <c r="A9" s="9" t="s">
        <v>372</v>
      </c>
      <c r="B9" s="19" t="n">
        <v>0.025852</v>
      </c>
      <c r="C9" s="7" t="s">
        <v>373</v>
      </c>
      <c r="D9" s="8" t="s">
        <v>374</v>
      </c>
      <c r="E9" s="8" t="s">
        <v>375</v>
      </c>
    </row>
    <row r="10" customFormat="false" ht="15" hidden="false" customHeight="false" outlineLevel="0" collapsed="false">
      <c r="A10" s="12" t="s">
        <v>376</v>
      </c>
      <c r="B10" s="18" t="n">
        <v>9650000000</v>
      </c>
      <c r="C10" s="5" t="s">
        <v>377</v>
      </c>
      <c r="D10" s="6" t="s">
        <v>378</v>
      </c>
      <c r="E10" s="6" t="s">
        <v>379</v>
      </c>
    </row>
    <row r="11" customFormat="false" ht="15" hidden="false" customHeight="false" outlineLevel="0" collapsed="false">
      <c r="A11" s="9" t="s">
        <v>380</v>
      </c>
      <c r="B11" s="17" t="n">
        <v>2.5E-031</v>
      </c>
      <c r="C11" s="7" t="s">
        <v>381</v>
      </c>
      <c r="D11" s="8" t="s">
        <v>382</v>
      </c>
      <c r="E11" s="8" t="s">
        <v>383</v>
      </c>
    </row>
    <row r="12" customFormat="false" ht="15" hidden="false" customHeight="false" outlineLevel="0" collapsed="false">
      <c r="A12" s="12" t="s">
        <v>384</v>
      </c>
      <c r="B12" s="18" t="n">
        <v>8.5E-032</v>
      </c>
      <c r="C12" s="5" t="s">
        <v>381</v>
      </c>
      <c r="D12" s="6" t="s">
        <v>385</v>
      </c>
      <c r="E12" s="6" t="s">
        <v>386</v>
      </c>
    </row>
    <row r="13" customFormat="false" ht="15" hidden="false" customHeight="false" outlineLevel="0" collapsed="false">
      <c r="A13" s="9" t="s">
        <v>387</v>
      </c>
      <c r="B13" s="17" t="n">
        <v>3E-029</v>
      </c>
      <c r="C13" s="7" t="s">
        <v>388</v>
      </c>
      <c r="D13" s="8" t="s">
        <v>389</v>
      </c>
      <c r="E13" s="8" t="s">
        <v>386</v>
      </c>
    </row>
    <row r="14" customFormat="false" ht="15" hidden="false" customHeight="false" outlineLevel="0" collapsed="false">
      <c r="A14" s="12" t="s">
        <v>390</v>
      </c>
      <c r="B14" s="18" t="n">
        <v>4.73E-015</v>
      </c>
      <c r="C14" s="5" t="s">
        <v>391</v>
      </c>
      <c r="D14" s="6" t="s">
        <v>392</v>
      </c>
      <c r="E14" s="6" t="s">
        <v>393</v>
      </c>
    </row>
    <row r="15" customFormat="false" ht="15" hidden="false" customHeight="false" outlineLevel="0" collapsed="false">
      <c r="A15" s="9" t="s">
        <v>394</v>
      </c>
      <c r="B15" s="19" t="n">
        <v>0.294</v>
      </c>
      <c r="C15" s="7" t="s">
        <v>76</v>
      </c>
      <c r="D15" s="8" t="s">
        <v>395</v>
      </c>
      <c r="E15" s="8" t="s">
        <v>396</v>
      </c>
    </row>
    <row r="16" customFormat="false" ht="15" hidden="false" customHeight="false" outlineLevel="0" collapsed="false">
      <c r="A16" s="12" t="s">
        <v>397</v>
      </c>
      <c r="B16" s="20" t="n">
        <v>100</v>
      </c>
      <c r="C16" s="5" t="s">
        <v>398</v>
      </c>
      <c r="D16" s="6" t="s">
        <v>399</v>
      </c>
      <c r="E16" s="6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5" min="3" style="0" width="7"/>
    <col collapsed="false" customWidth="true" hidden="false" outlineLevel="0" max="7" min="6" style="0" width="11"/>
    <col collapsed="false" customWidth="true" hidden="false" outlineLevel="0" max="9" min="8" style="0" width="8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401</v>
      </c>
    </row>
    <row r="2" customFormat="false" ht="15" hidden="false" customHeight="false" outlineLevel="0" collapsed="false">
      <c r="A2" s="2" t="s">
        <v>402</v>
      </c>
    </row>
    <row r="4" customFormat="false" ht="15" hidden="false" customHeight="false" outlineLevel="0" collapsed="false">
      <c r="A4" s="4" t="s">
        <v>403</v>
      </c>
      <c r="B4" s="4" t="s">
        <v>404</v>
      </c>
      <c r="C4" s="4" t="s">
        <v>405</v>
      </c>
      <c r="D4" s="4" t="s">
        <v>406</v>
      </c>
      <c r="E4" s="4" t="s">
        <v>407</v>
      </c>
      <c r="F4" s="4" t="s">
        <v>408</v>
      </c>
      <c r="G4" s="4" t="s">
        <v>409</v>
      </c>
      <c r="H4" s="4" t="s">
        <v>410</v>
      </c>
      <c r="I4" s="4" t="s">
        <v>411</v>
      </c>
      <c r="J4" s="4" t="s">
        <v>412</v>
      </c>
      <c r="K4" s="4" t="s">
        <v>413</v>
      </c>
      <c r="L4" s="4" t="s">
        <v>414</v>
      </c>
      <c r="M4" s="4" t="s">
        <v>415</v>
      </c>
    </row>
    <row r="5" customFormat="false" ht="15" hidden="false" customHeight="false" outlineLevel="0" collapsed="false">
      <c r="A5" s="5" t="s">
        <v>416</v>
      </c>
      <c r="B5" s="5" t="s">
        <v>417</v>
      </c>
      <c r="C5" s="21" t="n">
        <v>1.55</v>
      </c>
      <c r="D5" s="21" t="n">
        <v>3.93</v>
      </c>
      <c r="E5" s="21" t="n">
        <v>6.5</v>
      </c>
      <c r="F5" s="18" t="n">
        <v>2.2E+018</v>
      </c>
      <c r="G5" s="18" t="n">
        <v>1.8E+019</v>
      </c>
      <c r="H5" s="21" t="n">
        <v>2</v>
      </c>
      <c r="I5" s="21" t="n">
        <v>2</v>
      </c>
      <c r="J5" s="18" t="n">
        <v>10000000000000</v>
      </c>
      <c r="K5" s="5" t="s">
        <v>418</v>
      </c>
      <c r="L5" s="18" t="n">
        <v>150000</v>
      </c>
      <c r="M5" s="6" t="s">
        <v>419</v>
      </c>
    </row>
    <row r="6" customFormat="false" ht="15" hidden="false" customHeight="false" outlineLevel="0" collapsed="false">
      <c r="A6" s="7" t="s">
        <v>416</v>
      </c>
      <c r="B6" s="7" t="s">
        <v>420</v>
      </c>
      <c r="C6" s="22" t="n">
        <v>1.48</v>
      </c>
      <c r="D6" s="22" t="n">
        <v>4</v>
      </c>
      <c r="E6" s="22" t="n">
        <v>6.6</v>
      </c>
      <c r="F6" s="17" t="n">
        <v>2.2E+018</v>
      </c>
      <c r="G6" s="17" t="n">
        <v>1.8E+019</v>
      </c>
      <c r="H6" s="22" t="n">
        <v>2.7</v>
      </c>
      <c r="I6" s="22" t="n">
        <v>2.7</v>
      </c>
      <c r="J6" s="17" t="n">
        <v>10000000000000</v>
      </c>
      <c r="K6" s="7" t="s">
        <v>418</v>
      </c>
      <c r="L6" s="17" t="n">
        <v>140000</v>
      </c>
      <c r="M6" s="8" t="s">
        <v>421</v>
      </c>
    </row>
    <row r="7" customFormat="false" ht="15" hidden="false" customHeight="false" outlineLevel="0" collapsed="false">
      <c r="A7" s="5" t="s">
        <v>416</v>
      </c>
      <c r="B7" s="5" t="s">
        <v>422</v>
      </c>
      <c r="C7" s="21" t="n">
        <v>1.694</v>
      </c>
      <c r="D7" s="21" t="n">
        <v>3.95</v>
      </c>
      <c r="E7" s="21" t="n">
        <v>6</v>
      </c>
      <c r="F7" s="18" t="n">
        <v>1.1E+020</v>
      </c>
      <c r="G7" s="18" t="n">
        <v>8.2E+020</v>
      </c>
      <c r="H7" s="23" t="n">
        <v>25</v>
      </c>
      <c r="I7" s="23" t="n">
        <v>25</v>
      </c>
      <c r="J7" s="18" t="n">
        <v>1000000000000000</v>
      </c>
      <c r="K7" s="5" t="s">
        <v>418</v>
      </c>
      <c r="L7" s="18" t="n">
        <v>120000</v>
      </c>
      <c r="M7" s="6" t="s">
        <v>423</v>
      </c>
    </row>
    <row r="8" customFormat="false" ht="15" hidden="false" customHeight="false" outlineLevel="0" collapsed="false">
      <c r="A8" s="7" t="s">
        <v>416</v>
      </c>
      <c r="B8" s="7" t="s">
        <v>424</v>
      </c>
      <c r="C8" s="22" t="n">
        <v>1.48</v>
      </c>
      <c r="D8" s="22" t="n">
        <v>4.01</v>
      </c>
      <c r="E8" s="22" t="n">
        <v>10</v>
      </c>
      <c r="F8" s="17" t="n">
        <v>2.2E+018</v>
      </c>
      <c r="G8" s="17" t="n">
        <v>1.8E+019</v>
      </c>
      <c r="H8" s="24" t="n">
        <v>53</v>
      </c>
      <c r="I8" s="22" t="n">
        <v>0.03</v>
      </c>
      <c r="J8" s="17" t="n">
        <v>12000000000000000</v>
      </c>
      <c r="K8" s="7" t="s">
        <v>418</v>
      </c>
      <c r="L8" s="17" t="n">
        <v>120000</v>
      </c>
      <c r="M8" s="8" t="s">
        <v>425</v>
      </c>
    </row>
    <row r="9" customFormat="false" ht="15" hidden="false" customHeight="false" outlineLevel="0" collapsed="false">
      <c r="A9" s="5" t="s">
        <v>416</v>
      </c>
      <c r="B9" s="5" t="s">
        <v>426</v>
      </c>
      <c r="C9" s="21" t="n">
        <v>2.3</v>
      </c>
      <c r="D9" s="21" t="n">
        <v>3.38</v>
      </c>
      <c r="E9" s="21" t="n">
        <v>4</v>
      </c>
      <c r="F9" s="18" t="n">
        <v>2.2E+018</v>
      </c>
      <c r="G9" s="18" t="n">
        <v>1.8E+019</v>
      </c>
      <c r="H9" s="21" t="n">
        <v>1</v>
      </c>
      <c r="I9" s="21" t="n">
        <v>1</v>
      </c>
      <c r="J9" s="18" t="n">
        <v>10000000000000</v>
      </c>
      <c r="K9" s="5" t="s">
        <v>418</v>
      </c>
      <c r="L9" s="18" t="n">
        <v>50000</v>
      </c>
      <c r="M9" s="6" t="s">
        <v>419</v>
      </c>
    </row>
    <row r="10" customFormat="false" ht="15" hidden="false" customHeight="false" outlineLevel="0" collapsed="false">
      <c r="A10" s="7" t="s">
        <v>416</v>
      </c>
      <c r="B10" s="7" t="s">
        <v>427</v>
      </c>
      <c r="C10" s="22" t="n">
        <v>1.3</v>
      </c>
      <c r="D10" s="22" t="n">
        <v>4.17</v>
      </c>
      <c r="E10" s="22" t="n">
        <v>8.2</v>
      </c>
      <c r="F10" s="17" t="n">
        <v>1E+018</v>
      </c>
      <c r="G10" s="17" t="n">
        <v>1E+018</v>
      </c>
      <c r="H10" s="22" t="n">
        <v>1.6</v>
      </c>
      <c r="I10" s="22" t="n">
        <v>1.6</v>
      </c>
      <c r="J10" s="17" t="n">
        <v>3200000000000000</v>
      </c>
      <c r="K10" s="7" t="s">
        <v>418</v>
      </c>
      <c r="L10" s="17" t="n">
        <v>50000</v>
      </c>
      <c r="M10" s="8" t="s">
        <v>428</v>
      </c>
    </row>
    <row r="11" customFormat="false" ht="15" hidden="false" customHeight="false" outlineLevel="0" collapsed="false">
      <c r="A11" s="5" t="s">
        <v>416</v>
      </c>
      <c r="B11" s="5" t="s">
        <v>429</v>
      </c>
      <c r="C11" s="21" t="n">
        <v>1.3</v>
      </c>
      <c r="D11" s="21" t="n">
        <v>3.6</v>
      </c>
      <c r="E11" s="21" t="n">
        <v>9.93</v>
      </c>
      <c r="F11" s="18" t="n">
        <v>1E+018</v>
      </c>
      <c r="G11" s="18" t="n">
        <v>1E+018</v>
      </c>
      <c r="H11" s="21" t="n">
        <v>1.5</v>
      </c>
      <c r="I11" s="23" t="n">
        <v>58</v>
      </c>
      <c r="J11" s="18" t="n">
        <v>1E+017</v>
      </c>
      <c r="K11" s="5" t="s">
        <v>418</v>
      </c>
      <c r="L11" s="18" t="n">
        <v>50000</v>
      </c>
      <c r="M11" s="6" t="s">
        <v>430</v>
      </c>
    </row>
    <row r="12" customFormat="false" ht="15" hidden="false" customHeight="false" outlineLevel="0" collapsed="false">
      <c r="A12" s="7" t="s">
        <v>416</v>
      </c>
      <c r="B12" s="7" t="s">
        <v>431</v>
      </c>
      <c r="C12" s="22" t="n">
        <v>1.41</v>
      </c>
      <c r="D12" s="22" t="n">
        <v>3.52</v>
      </c>
      <c r="E12" s="22" t="n">
        <v>8.2</v>
      </c>
      <c r="F12" s="17" t="n">
        <v>1E+018</v>
      </c>
      <c r="G12" s="17" t="n">
        <v>1E+018</v>
      </c>
      <c r="H12" s="24" t="n">
        <v>22</v>
      </c>
      <c r="I12" s="24" t="n">
        <v>22</v>
      </c>
      <c r="J12" s="17" t="n">
        <v>1E+017</v>
      </c>
      <c r="K12" s="7" t="s">
        <v>418</v>
      </c>
      <c r="L12" s="17" t="n">
        <v>50000</v>
      </c>
      <c r="M12" s="8" t="s">
        <v>432</v>
      </c>
    </row>
    <row r="13" customFormat="false" ht="15" hidden="false" customHeight="false" outlineLevel="0" collapsed="false">
      <c r="A13" s="5" t="s">
        <v>416</v>
      </c>
      <c r="B13" s="5" t="s">
        <v>433</v>
      </c>
      <c r="C13" s="21" t="n">
        <v>1.68</v>
      </c>
      <c r="D13" s="21" t="n">
        <v>3.95</v>
      </c>
      <c r="E13" s="21" t="n">
        <v>6.5</v>
      </c>
      <c r="F13" s="18" t="n">
        <v>1E+019</v>
      </c>
      <c r="G13" s="18" t="n">
        <v>1E+019</v>
      </c>
      <c r="H13" s="21" t="n">
        <v>2</v>
      </c>
      <c r="I13" s="21" t="n">
        <v>2</v>
      </c>
      <c r="J13" s="18" t="n">
        <v>1000000000000000</v>
      </c>
      <c r="K13" s="5" t="s">
        <v>418</v>
      </c>
      <c r="L13" s="18" t="n">
        <v>100000</v>
      </c>
      <c r="M13" s="6" t="s">
        <v>434</v>
      </c>
    </row>
    <row r="14" customFormat="false" ht="15" hidden="false" customHeight="false" outlineLevel="0" collapsed="false">
      <c r="A14" s="7" t="s">
        <v>416</v>
      </c>
      <c r="B14" s="7" t="s">
        <v>435</v>
      </c>
      <c r="C14" s="22" t="n">
        <v>1.5</v>
      </c>
      <c r="D14" s="22" t="n">
        <v>3.9</v>
      </c>
      <c r="E14" s="22" t="n">
        <v>9.4</v>
      </c>
      <c r="F14" s="17" t="n">
        <v>8E+017</v>
      </c>
      <c r="G14" s="17" t="n">
        <v>1.8E+019</v>
      </c>
      <c r="H14" s="22" t="n">
        <v>320</v>
      </c>
      <c r="I14" s="22" t="n">
        <v>40</v>
      </c>
      <c r="J14" s="17" t="n">
        <v>200000000000000</v>
      </c>
      <c r="K14" s="7" t="s">
        <v>418</v>
      </c>
      <c r="L14" s="17" t="n">
        <v>300000</v>
      </c>
      <c r="M14" s="8" t="s">
        <v>436</v>
      </c>
    </row>
    <row r="15" customFormat="false" ht="15" hidden="false" customHeight="false" outlineLevel="0" collapsed="false">
      <c r="A15" s="5" t="s">
        <v>437</v>
      </c>
      <c r="B15" s="5" t="s">
        <v>438</v>
      </c>
      <c r="C15" s="21" t="n">
        <v>3.6</v>
      </c>
      <c r="D15" s="21" t="n">
        <v>4</v>
      </c>
      <c r="E15" s="21" t="n">
        <v>9</v>
      </c>
      <c r="F15" s="18" t="n">
        <v>2.2E+018</v>
      </c>
      <c r="G15" s="18" t="n">
        <v>1.8E+019</v>
      </c>
      <c r="H15" s="23" t="n">
        <v>100</v>
      </c>
      <c r="I15" s="23" t="n">
        <v>25</v>
      </c>
      <c r="J15" s="18" t="n">
        <v>1E+017</v>
      </c>
      <c r="K15" s="5" t="s">
        <v>439</v>
      </c>
      <c r="L15" s="18" t="n">
        <v>100000</v>
      </c>
      <c r="M15" s="6" t="s">
        <v>423</v>
      </c>
    </row>
    <row r="16" customFormat="false" ht="15" hidden="false" customHeight="false" outlineLevel="0" collapsed="false">
      <c r="A16" s="7" t="s">
        <v>437</v>
      </c>
      <c r="B16" s="7" t="s">
        <v>440</v>
      </c>
      <c r="C16" s="22" t="n">
        <v>3.2</v>
      </c>
      <c r="D16" s="22" t="n">
        <v>4</v>
      </c>
      <c r="E16" s="22" t="n">
        <v>9</v>
      </c>
      <c r="F16" s="17" t="n">
        <v>2.2E+018</v>
      </c>
      <c r="G16" s="17" t="n">
        <v>1.8E+019</v>
      </c>
      <c r="H16" s="24" t="n">
        <v>20</v>
      </c>
      <c r="I16" s="24" t="n">
        <v>10</v>
      </c>
      <c r="J16" s="17" t="n">
        <v>1E+017</v>
      </c>
      <c r="K16" s="7" t="s">
        <v>439</v>
      </c>
      <c r="L16" s="17" t="n">
        <v>100000</v>
      </c>
      <c r="M16" s="8" t="s">
        <v>423</v>
      </c>
    </row>
    <row r="17" customFormat="false" ht="15" hidden="false" customHeight="false" outlineLevel="0" collapsed="false">
      <c r="A17" s="5" t="s">
        <v>437</v>
      </c>
      <c r="B17" s="5" t="s">
        <v>441</v>
      </c>
      <c r="C17" s="21" t="n">
        <v>3.3</v>
      </c>
      <c r="D17" s="21" t="n">
        <v>4.4</v>
      </c>
      <c r="E17" s="21" t="n">
        <v>9</v>
      </c>
      <c r="F17" s="18" t="n">
        <v>2.2E+018</v>
      </c>
      <c r="G17" s="18" t="n">
        <v>1.8E+019</v>
      </c>
      <c r="H17" s="23" t="n">
        <v>100</v>
      </c>
      <c r="I17" s="23" t="n">
        <v>25</v>
      </c>
      <c r="J17" s="18" t="n">
        <v>1E+018</v>
      </c>
      <c r="K17" s="5" t="s">
        <v>439</v>
      </c>
      <c r="L17" s="18" t="n">
        <v>100000</v>
      </c>
      <c r="M17" s="6" t="s">
        <v>423</v>
      </c>
    </row>
    <row r="18" customFormat="false" ht="15" hidden="false" customHeight="false" outlineLevel="0" collapsed="false">
      <c r="A18" s="7" t="s">
        <v>437</v>
      </c>
      <c r="B18" s="7" t="s">
        <v>442</v>
      </c>
      <c r="C18" s="22" t="n">
        <v>1.7</v>
      </c>
      <c r="D18" s="22" t="n">
        <v>3.9</v>
      </c>
      <c r="E18" s="22" t="n">
        <v>4.2</v>
      </c>
      <c r="F18" s="17" t="n">
        <v>8E+019</v>
      </c>
      <c r="G18" s="17" t="n">
        <v>8E+019</v>
      </c>
      <c r="H18" s="22" t="n">
        <v>0.08</v>
      </c>
      <c r="I18" s="22" t="n">
        <v>0.035</v>
      </c>
      <c r="J18" s="17" t="n">
        <v>2.6E+017</v>
      </c>
      <c r="K18" s="7" t="s">
        <v>439</v>
      </c>
      <c r="L18" s="17" t="n">
        <v>100000</v>
      </c>
      <c r="M18" s="8" t="s">
        <v>423</v>
      </c>
    </row>
    <row r="19" customFormat="false" ht="15" hidden="false" customHeight="false" outlineLevel="0" collapsed="false">
      <c r="A19" s="5" t="s">
        <v>437</v>
      </c>
      <c r="B19" s="5" t="s">
        <v>443</v>
      </c>
      <c r="C19" s="21" t="n">
        <v>2</v>
      </c>
      <c r="D19" s="21" t="n">
        <v>3.9</v>
      </c>
      <c r="E19" s="21" t="n">
        <v>3.9</v>
      </c>
      <c r="F19" s="18" t="n">
        <v>2.5E+021</v>
      </c>
      <c r="G19" s="18" t="n">
        <v>2.5E+021</v>
      </c>
      <c r="H19" s="21" t="n">
        <v>0.2</v>
      </c>
      <c r="I19" s="21" t="n">
        <v>0.2</v>
      </c>
      <c r="J19" s="18" t="n">
        <v>2.93E+017</v>
      </c>
      <c r="K19" s="5" t="s">
        <v>439</v>
      </c>
      <c r="L19" s="18" t="n">
        <v>100000</v>
      </c>
      <c r="M19" s="6" t="s">
        <v>423</v>
      </c>
    </row>
    <row r="20" customFormat="false" ht="15" hidden="false" customHeight="false" outlineLevel="0" collapsed="false">
      <c r="A20" s="7" t="s">
        <v>437</v>
      </c>
      <c r="B20" s="7" t="s">
        <v>444</v>
      </c>
      <c r="C20" s="22" t="n">
        <v>1.12</v>
      </c>
      <c r="D20" s="22" t="n">
        <v>4.05</v>
      </c>
      <c r="E20" s="22" t="n">
        <v>11.7</v>
      </c>
      <c r="F20" s="17" t="n">
        <v>2.8E+019</v>
      </c>
      <c r="G20" s="17" t="n">
        <v>1.04E+019</v>
      </c>
      <c r="H20" s="24" t="n">
        <v>1400</v>
      </c>
      <c r="I20" s="24" t="n">
        <v>450</v>
      </c>
      <c r="J20" s="17" t="n">
        <v>10000000000000000</v>
      </c>
      <c r="K20" s="7" t="s">
        <v>439</v>
      </c>
      <c r="L20" s="17" t="n">
        <v>100000</v>
      </c>
      <c r="M20" s="8" t="s">
        <v>445</v>
      </c>
    </row>
    <row r="21" customFormat="false" ht="15" hidden="false" customHeight="false" outlineLevel="0" collapsed="false">
      <c r="A21" s="5" t="s">
        <v>437</v>
      </c>
      <c r="B21" s="5" t="s">
        <v>446</v>
      </c>
      <c r="C21" s="21" t="n">
        <v>3.05</v>
      </c>
      <c r="D21" s="21" t="n">
        <v>4.16</v>
      </c>
      <c r="E21" s="21" t="n">
        <v>10</v>
      </c>
      <c r="F21" s="18" t="n">
        <v>5E+018</v>
      </c>
      <c r="G21" s="18" t="n">
        <v>5E+018</v>
      </c>
      <c r="H21" s="21" t="n">
        <v>15</v>
      </c>
      <c r="I21" s="21" t="n">
        <v>0.1</v>
      </c>
      <c r="J21" s="18" t="n">
        <v>1E+017</v>
      </c>
      <c r="K21" s="5" t="s">
        <v>439</v>
      </c>
      <c r="L21" s="18" t="n">
        <v>100000</v>
      </c>
      <c r="M21" s="6" t="s">
        <v>423</v>
      </c>
    </row>
    <row r="22" customFormat="false" ht="15" hidden="false" customHeight="false" outlineLevel="0" collapsed="false">
      <c r="A22" s="7" t="s">
        <v>437</v>
      </c>
      <c r="B22" s="7" t="s">
        <v>447</v>
      </c>
      <c r="C22" s="22" t="n">
        <v>1.8</v>
      </c>
      <c r="D22" s="22" t="n">
        <v>3.95</v>
      </c>
      <c r="E22" s="22" t="n">
        <v>13.6</v>
      </c>
      <c r="F22" s="17" t="n">
        <v>1E+018</v>
      </c>
      <c r="G22" s="17" t="n">
        <v>2.4E+019</v>
      </c>
      <c r="H22" s="22" t="n">
        <v>100</v>
      </c>
      <c r="I22" s="22" t="n">
        <v>100</v>
      </c>
      <c r="J22" s="17" t="n">
        <v>1E+018</v>
      </c>
      <c r="K22" s="7" t="s">
        <v>439</v>
      </c>
      <c r="L22" s="17" t="n">
        <v>100000</v>
      </c>
      <c r="M22" s="8" t="s">
        <v>423</v>
      </c>
    </row>
    <row r="23" customFormat="false" ht="15" hidden="false" customHeight="false" outlineLevel="0" collapsed="false">
      <c r="A23" s="5" t="s">
        <v>437</v>
      </c>
      <c r="B23" s="5" t="s">
        <v>448</v>
      </c>
      <c r="C23" s="21" t="n">
        <v>3.3</v>
      </c>
      <c r="D23" s="21" t="n">
        <v>4.6</v>
      </c>
      <c r="E23" s="21" t="n">
        <v>9</v>
      </c>
      <c r="F23" s="18" t="n">
        <v>2.2E+018</v>
      </c>
      <c r="G23" s="18" t="n">
        <v>1.8E+019</v>
      </c>
      <c r="H23" s="21" t="n">
        <v>50</v>
      </c>
      <c r="I23" s="21" t="n">
        <v>5</v>
      </c>
      <c r="J23" s="18" t="n">
        <v>1E+020</v>
      </c>
      <c r="K23" s="5" t="s">
        <v>439</v>
      </c>
      <c r="L23" s="18" t="n">
        <v>100000</v>
      </c>
      <c r="M23" s="6" t="s">
        <v>425</v>
      </c>
    </row>
    <row r="24" customFormat="false" ht="15" hidden="false" customHeight="false" outlineLevel="0" collapsed="false">
      <c r="A24" s="7" t="s">
        <v>437</v>
      </c>
      <c r="B24" s="7" t="s">
        <v>449</v>
      </c>
      <c r="C24" s="22" t="n">
        <v>2.8</v>
      </c>
      <c r="D24" s="22" t="n">
        <v>4.5</v>
      </c>
      <c r="E24" s="22" t="n">
        <v>13.5</v>
      </c>
      <c r="F24" s="17" t="n">
        <v>1.8E+019</v>
      </c>
      <c r="G24" s="17" t="n">
        <v>40000000000000</v>
      </c>
      <c r="H24" s="24" t="n">
        <v>400</v>
      </c>
      <c r="I24" s="24" t="n">
        <v>210</v>
      </c>
      <c r="J24" s="17" t="n">
        <v>1E+018</v>
      </c>
      <c r="K24" s="7" t="s">
        <v>439</v>
      </c>
      <c r="L24" s="17" t="n">
        <v>100000</v>
      </c>
      <c r="M24" s="8" t="s">
        <v>450</v>
      </c>
    </row>
    <row r="25" customFormat="false" ht="15" hidden="false" customHeight="false" outlineLevel="0" collapsed="false">
      <c r="A25" s="5" t="s">
        <v>437</v>
      </c>
      <c r="B25" s="5" t="s">
        <v>451</v>
      </c>
      <c r="C25" s="21" t="n">
        <v>2.4</v>
      </c>
      <c r="D25" s="21" t="n">
        <v>4</v>
      </c>
      <c r="E25" s="21" t="n">
        <v>10</v>
      </c>
      <c r="F25" s="18" t="n">
        <v>2.2E+018</v>
      </c>
      <c r="G25" s="18" t="n">
        <v>1.8E+019</v>
      </c>
      <c r="H25" s="21" t="n">
        <v>100</v>
      </c>
      <c r="I25" s="21" t="n">
        <v>25</v>
      </c>
      <c r="J25" s="18" t="n">
        <v>1.1E+018</v>
      </c>
      <c r="K25" s="5" t="s">
        <v>439</v>
      </c>
      <c r="L25" s="18" t="n">
        <v>100000</v>
      </c>
      <c r="M25" s="6" t="s">
        <v>436</v>
      </c>
    </row>
    <row r="26" customFormat="false" ht="15" hidden="false" customHeight="false" outlineLevel="0" collapsed="false">
      <c r="A26" s="7" t="s">
        <v>452</v>
      </c>
      <c r="B26" s="7" t="s">
        <v>453</v>
      </c>
      <c r="C26" s="22" t="n">
        <v>3</v>
      </c>
      <c r="D26" s="22" t="n">
        <v>2.05</v>
      </c>
      <c r="E26" s="22" t="n">
        <v>3</v>
      </c>
      <c r="F26" s="17" t="n">
        <v>2.2E+018</v>
      </c>
      <c r="G26" s="17" t="n">
        <v>1.8E+019</v>
      </c>
      <c r="H26" s="22" t="n">
        <v>0.0002</v>
      </c>
      <c r="I26" s="22" t="n">
        <v>0.0002</v>
      </c>
      <c r="J26" s="17" t="n">
        <v>1E+018</v>
      </c>
      <c r="K26" s="7" t="s">
        <v>418</v>
      </c>
      <c r="L26" s="17" t="n">
        <v>100000</v>
      </c>
      <c r="M26" s="8" t="s">
        <v>423</v>
      </c>
    </row>
    <row r="27" customFormat="false" ht="15" hidden="false" customHeight="false" outlineLevel="0" collapsed="false">
      <c r="A27" s="5" t="s">
        <v>452</v>
      </c>
      <c r="B27" s="5" t="s">
        <v>454</v>
      </c>
      <c r="C27" s="21" t="n">
        <v>2.17</v>
      </c>
      <c r="D27" s="21" t="n">
        <v>3.2</v>
      </c>
      <c r="E27" s="21" t="n">
        <v>7.11</v>
      </c>
      <c r="F27" s="18" t="n">
        <v>2.02E+017</v>
      </c>
      <c r="G27" s="18" t="n">
        <v>1.1E+019</v>
      </c>
      <c r="H27" s="23" t="n">
        <v>200</v>
      </c>
      <c r="I27" s="23" t="n">
        <v>80</v>
      </c>
      <c r="J27" s="18" t="n">
        <v>1E+018</v>
      </c>
      <c r="K27" s="5" t="s">
        <v>418</v>
      </c>
      <c r="L27" s="18" t="n">
        <v>100000</v>
      </c>
      <c r="M27" s="6" t="s">
        <v>425</v>
      </c>
    </row>
    <row r="28" customFormat="false" ht="15" hidden="false" customHeight="false" outlineLevel="0" collapsed="false">
      <c r="A28" s="7" t="s">
        <v>452</v>
      </c>
      <c r="B28" s="7" t="s">
        <v>455</v>
      </c>
      <c r="C28" s="22" t="n">
        <v>3.8</v>
      </c>
      <c r="D28" s="22" t="n">
        <v>1.46</v>
      </c>
      <c r="E28" s="22" t="n">
        <v>11.75</v>
      </c>
      <c r="F28" s="17" t="n">
        <v>2.8E+019</v>
      </c>
      <c r="G28" s="17" t="n">
        <v>1E+019</v>
      </c>
      <c r="H28" s="22" t="n">
        <v>0.012</v>
      </c>
      <c r="I28" s="22" t="n">
        <v>0.028</v>
      </c>
      <c r="J28" s="17" t="n">
        <v>1E+018</v>
      </c>
      <c r="K28" s="7" t="s">
        <v>418</v>
      </c>
      <c r="L28" s="17" t="n">
        <v>100000</v>
      </c>
      <c r="M28" s="8" t="s">
        <v>423</v>
      </c>
    </row>
    <row r="29" customFormat="false" ht="15" hidden="false" customHeight="false" outlineLevel="0" collapsed="false">
      <c r="A29" s="5" t="s">
        <v>452</v>
      </c>
      <c r="B29" s="5" t="s">
        <v>456</v>
      </c>
      <c r="C29" s="21" t="n">
        <v>3.6</v>
      </c>
      <c r="D29" s="21" t="n">
        <v>1.7</v>
      </c>
      <c r="E29" s="21" t="n">
        <v>10</v>
      </c>
      <c r="F29" s="18" t="n">
        <v>2.2E+019</v>
      </c>
      <c r="G29" s="18" t="n">
        <v>1.8E+018</v>
      </c>
      <c r="H29" s="21" t="n">
        <v>0.0001</v>
      </c>
      <c r="I29" s="21" t="n">
        <v>0.01</v>
      </c>
      <c r="J29" s="18" t="n">
        <v>1E+018</v>
      </c>
      <c r="K29" s="5" t="s">
        <v>418</v>
      </c>
      <c r="L29" s="18" t="n">
        <v>100000</v>
      </c>
      <c r="M29" s="6" t="s">
        <v>457</v>
      </c>
    </row>
    <row r="30" customFormat="false" ht="15" hidden="false" customHeight="false" outlineLevel="0" collapsed="false">
      <c r="A30" s="7" t="s">
        <v>452</v>
      </c>
      <c r="B30" s="7" t="s">
        <v>458</v>
      </c>
      <c r="C30" s="22" t="n">
        <v>1.6</v>
      </c>
      <c r="D30" s="22" t="n">
        <v>3.4</v>
      </c>
      <c r="E30" s="22" t="n">
        <v>3</v>
      </c>
      <c r="F30" s="17" t="n">
        <v>2.2E+018</v>
      </c>
      <c r="G30" s="17" t="n">
        <v>1.8E+019</v>
      </c>
      <c r="H30" s="22" t="n">
        <v>0.001</v>
      </c>
      <c r="I30" s="22" t="n">
        <v>0.01</v>
      </c>
      <c r="J30" s="17" t="n">
        <v>1E+018</v>
      </c>
      <c r="K30" s="7" t="s">
        <v>418</v>
      </c>
      <c r="L30" s="17" t="n">
        <v>100000</v>
      </c>
      <c r="M30" s="8" t="s">
        <v>423</v>
      </c>
    </row>
    <row r="31" customFormat="false" ht="15" hidden="false" customHeight="false" outlineLevel="0" collapsed="false">
      <c r="A31" s="5" t="s">
        <v>452</v>
      </c>
      <c r="B31" s="5" t="s">
        <v>459</v>
      </c>
      <c r="C31" s="21" t="n">
        <v>3.5</v>
      </c>
      <c r="D31" s="21" t="n">
        <v>2</v>
      </c>
      <c r="E31" s="21" t="n">
        <v>3</v>
      </c>
      <c r="F31" s="18" t="n">
        <v>2.2E+018</v>
      </c>
      <c r="G31" s="18" t="n">
        <v>1.8E+019</v>
      </c>
      <c r="H31" s="21" t="n">
        <v>0.0001</v>
      </c>
      <c r="I31" s="21" t="n">
        <v>0.001</v>
      </c>
      <c r="J31" s="18" t="n">
        <v>1E+018</v>
      </c>
      <c r="K31" s="5" t="s">
        <v>418</v>
      </c>
      <c r="L31" s="18" t="n">
        <v>100000</v>
      </c>
      <c r="M31" s="6" t="s">
        <v>460</v>
      </c>
    </row>
    <row r="32" customFormat="false" ht="15" hidden="false" customHeight="false" outlineLevel="0" collapsed="false">
      <c r="A32" s="7" t="s">
        <v>452</v>
      </c>
      <c r="B32" s="7" t="s">
        <v>461</v>
      </c>
      <c r="C32" s="22" t="n">
        <v>1.9</v>
      </c>
      <c r="D32" s="22" t="n">
        <v>3.6</v>
      </c>
      <c r="E32" s="22" t="n">
        <v>5.4</v>
      </c>
      <c r="F32" s="17" t="n">
        <v>2.2E+018</v>
      </c>
      <c r="G32" s="17" t="n">
        <v>1.8E+019</v>
      </c>
      <c r="H32" s="22" t="n">
        <v>30</v>
      </c>
      <c r="I32" s="22" t="n">
        <v>10</v>
      </c>
      <c r="J32" s="17" t="n">
        <v>1E+018</v>
      </c>
      <c r="K32" s="7" t="s">
        <v>418</v>
      </c>
      <c r="L32" s="17" t="n">
        <v>100000</v>
      </c>
      <c r="M32" s="8" t="s">
        <v>423</v>
      </c>
    </row>
    <row r="33" customFormat="false" ht="15" hidden="false" customHeight="false" outlineLevel="0" collapsed="false">
      <c r="A33" s="5" t="s">
        <v>452</v>
      </c>
      <c r="B33" s="5" t="s">
        <v>462</v>
      </c>
      <c r="C33" s="21" t="n">
        <v>3.1</v>
      </c>
      <c r="D33" s="21" t="n">
        <v>2.1</v>
      </c>
      <c r="E33" s="21" t="n">
        <v>6.5</v>
      </c>
      <c r="F33" s="18" t="n">
        <v>2.8E+019</v>
      </c>
      <c r="G33" s="18" t="n">
        <v>1E+019</v>
      </c>
      <c r="H33" s="21" t="n">
        <v>100</v>
      </c>
      <c r="I33" s="21" t="n">
        <v>43.9</v>
      </c>
      <c r="J33" s="18" t="n">
        <v>1E+018</v>
      </c>
      <c r="K33" s="5" t="s">
        <v>418</v>
      </c>
      <c r="L33" s="18" t="n">
        <v>100000</v>
      </c>
      <c r="M33" s="6" t="s">
        <v>425</v>
      </c>
    </row>
    <row r="34" customFormat="false" ht="15" hidden="false" customHeight="false" outlineLevel="0" collapsed="false">
      <c r="A34" s="7" t="s">
        <v>452</v>
      </c>
      <c r="B34" s="7" t="s">
        <v>463</v>
      </c>
      <c r="C34" s="22" t="n">
        <v>1.58</v>
      </c>
      <c r="D34" s="22" t="n">
        <v>4.2</v>
      </c>
      <c r="E34" s="22" t="n">
        <v>14.6</v>
      </c>
      <c r="F34" s="17" t="n">
        <v>2E+018</v>
      </c>
      <c r="G34" s="17" t="n">
        <v>1E+019</v>
      </c>
      <c r="H34" s="22" t="n">
        <v>49</v>
      </c>
      <c r="I34" s="22" t="n">
        <v>49</v>
      </c>
      <c r="J34" s="17" t="n">
        <v>1E+018</v>
      </c>
      <c r="K34" s="7" t="s">
        <v>418</v>
      </c>
      <c r="L34" s="17" t="n">
        <v>100000</v>
      </c>
      <c r="M34" s="8" t="s">
        <v>423</v>
      </c>
    </row>
    <row r="35" customFormat="false" ht="15" hidden="false" customHeight="false" outlineLevel="0" collapsed="false">
      <c r="A35" s="5" t="s">
        <v>452</v>
      </c>
      <c r="B35" s="5" t="s">
        <v>464</v>
      </c>
      <c r="C35" s="21" t="n">
        <v>2.2</v>
      </c>
      <c r="D35" s="21" t="n">
        <v>4</v>
      </c>
      <c r="E35" s="21" t="n">
        <v>10</v>
      </c>
      <c r="F35" s="18" t="n">
        <v>9.2E+017</v>
      </c>
      <c r="G35" s="18" t="n">
        <v>5E+018</v>
      </c>
      <c r="H35" s="23" t="n">
        <v>320</v>
      </c>
      <c r="I35" s="23" t="n">
        <v>40</v>
      </c>
      <c r="J35" s="18" t="n">
        <v>1E+018</v>
      </c>
      <c r="K35" s="5" t="s">
        <v>418</v>
      </c>
      <c r="L35" s="18" t="n">
        <v>100000</v>
      </c>
      <c r="M35" s="6" t="s">
        <v>423</v>
      </c>
    </row>
    <row r="36" customFormat="false" ht="15" hidden="false" customHeight="false" outlineLevel="0" collapsed="false">
      <c r="A36" s="7" t="s">
        <v>452</v>
      </c>
      <c r="B36" s="7" t="s">
        <v>465</v>
      </c>
      <c r="C36" s="22" t="n">
        <v>1.7</v>
      </c>
      <c r="D36" s="22" t="n">
        <v>3.5</v>
      </c>
      <c r="E36" s="22" t="n">
        <v>3</v>
      </c>
      <c r="F36" s="17" t="n">
        <v>2E+021</v>
      </c>
      <c r="G36" s="17" t="n">
        <v>2E+021</v>
      </c>
      <c r="H36" s="22" t="n">
        <v>0.0018</v>
      </c>
      <c r="I36" s="22" t="n">
        <v>0.0186</v>
      </c>
      <c r="J36" s="17" t="n">
        <v>1E+018</v>
      </c>
      <c r="K36" s="7" t="s">
        <v>418</v>
      </c>
      <c r="L36" s="17" t="n">
        <v>100000</v>
      </c>
      <c r="M36" s="8" t="s">
        <v>423</v>
      </c>
    </row>
    <row r="37" customFormat="false" ht="15" hidden="false" customHeight="false" outlineLevel="0" collapsed="false">
      <c r="A37" s="5" t="s">
        <v>452</v>
      </c>
      <c r="B37" s="5" t="s">
        <v>466</v>
      </c>
      <c r="C37" s="21" t="n">
        <v>1.3</v>
      </c>
      <c r="D37" s="21" t="n">
        <v>3.3</v>
      </c>
      <c r="E37" s="21" t="n">
        <v>9</v>
      </c>
      <c r="F37" s="18" t="n">
        <v>2.2E+018</v>
      </c>
      <c r="G37" s="18" t="n">
        <v>1.8E+019</v>
      </c>
      <c r="H37" s="21" t="n">
        <v>21.98</v>
      </c>
      <c r="I37" s="21" t="n">
        <v>21.98</v>
      </c>
      <c r="J37" s="18" t="n">
        <v>1E+018</v>
      </c>
      <c r="K37" s="5" t="s">
        <v>418</v>
      </c>
      <c r="L37" s="18" t="n">
        <v>100000</v>
      </c>
      <c r="M37" s="6" t="s">
        <v>423</v>
      </c>
    </row>
    <row r="38" customFormat="false" ht="15" hidden="false" customHeight="false" outlineLevel="0" collapsed="false">
      <c r="A38" s="7" t="s">
        <v>452</v>
      </c>
      <c r="B38" s="7" t="s">
        <v>467</v>
      </c>
      <c r="C38" s="22" t="n">
        <v>3.3</v>
      </c>
      <c r="D38" s="22" t="n">
        <v>2.2</v>
      </c>
      <c r="E38" s="22" t="n">
        <v>6.5</v>
      </c>
      <c r="F38" s="17" t="n">
        <v>2.5E+019</v>
      </c>
      <c r="G38" s="17" t="n">
        <v>1.8E+019</v>
      </c>
      <c r="H38" s="22" t="n">
        <v>0.5</v>
      </c>
      <c r="I38" s="22" t="n">
        <v>9.42</v>
      </c>
      <c r="J38" s="17" t="n">
        <v>1E+018</v>
      </c>
      <c r="K38" s="7" t="s">
        <v>418</v>
      </c>
      <c r="L38" s="17" t="n">
        <v>100000</v>
      </c>
      <c r="M38" s="8" t="s">
        <v>468</v>
      </c>
    </row>
    <row r="39" customFormat="false" ht="15" hidden="false" customHeight="false" outlineLevel="0" collapsed="false">
      <c r="A39" s="5" t="s">
        <v>452</v>
      </c>
      <c r="B39" s="5" t="s">
        <v>469</v>
      </c>
      <c r="C39" s="21" t="n">
        <v>1.5</v>
      </c>
      <c r="D39" s="21" t="n">
        <v>3.9</v>
      </c>
      <c r="E39" s="21" t="n">
        <v>9.4</v>
      </c>
      <c r="F39" s="18" t="n">
        <v>8E+017</v>
      </c>
      <c r="G39" s="18" t="n">
        <v>1.8E+019</v>
      </c>
      <c r="H39" s="21" t="n">
        <v>320</v>
      </c>
      <c r="I39" s="21" t="n">
        <v>40</v>
      </c>
      <c r="J39" s="18" t="n">
        <v>1E+018</v>
      </c>
      <c r="K39" s="5" t="s">
        <v>418</v>
      </c>
      <c r="L39" s="18" t="n">
        <v>300000</v>
      </c>
      <c r="M39" s="6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4" min="13" style="0" width="7"/>
    <col collapsed="false" customWidth="true" hidden="false" outlineLevel="0" max="15" min="15" style="0" width="26"/>
    <col collapsed="false" customWidth="true" hidden="false" outlineLevel="0" max="16" min="16" style="0" width="7"/>
  </cols>
  <sheetData>
    <row r="1" customFormat="false" ht="17.35" hidden="false" customHeight="false" outlineLevel="0" collapsed="false">
      <c r="A1" s="1" t="s">
        <v>470</v>
      </c>
    </row>
    <row r="2" customFormat="false" ht="15" hidden="false" customHeight="false" outlineLevel="0" collapsed="false">
      <c r="A2" s="2" t="s">
        <v>471</v>
      </c>
    </row>
    <row r="4" customFormat="false" ht="23.85" hidden="false" customHeight="false" outlineLevel="0" collapsed="false">
      <c r="A4" s="4" t="s">
        <v>472</v>
      </c>
      <c r="B4" s="4" t="s">
        <v>473</v>
      </c>
      <c r="C4" s="4" t="s">
        <v>474</v>
      </c>
      <c r="D4" s="4" t="s">
        <v>475</v>
      </c>
      <c r="E4" s="4" t="s">
        <v>476</v>
      </c>
      <c r="F4" s="4" t="s">
        <v>477</v>
      </c>
      <c r="G4" s="4" t="s">
        <v>478</v>
      </c>
      <c r="H4" s="4" t="s">
        <v>479</v>
      </c>
      <c r="I4" s="4" t="s">
        <v>480</v>
      </c>
      <c r="J4" s="4" t="s">
        <v>481</v>
      </c>
      <c r="K4" s="4" t="s">
        <v>482</v>
      </c>
      <c r="L4" s="4" t="s">
        <v>483</v>
      </c>
      <c r="M4" s="4" t="s">
        <v>484</v>
      </c>
      <c r="N4" s="4" t="s">
        <v>485</v>
      </c>
      <c r="O4" s="4" t="s">
        <v>46</v>
      </c>
      <c r="P4" s="4" t="s">
        <v>486</v>
      </c>
    </row>
    <row r="5" customFormat="false" ht="15" hidden="false" customHeight="false" outlineLevel="0" collapsed="false">
      <c r="A5" s="6" t="s">
        <v>487</v>
      </c>
      <c r="B5" s="21" t="n">
        <v>165</v>
      </c>
      <c r="C5" s="25" t="n">
        <v>3000000000000000</v>
      </c>
      <c r="D5" s="21" t="n">
        <v>15</v>
      </c>
      <c r="E5" s="21" t="n">
        <v>2.6</v>
      </c>
      <c r="F5" s="21" t="n">
        <v>0.32</v>
      </c>
      <c r="G5" s="21" t="n">
        <v>26.7</v>
      </c>
      <c r="H5" s="26" t="n">
        <v>26.771</v>
      </c>
      <c r="I5" s="27" t="n">
        <v>0.745</v>
      </c>
      <c r="J5" s="26" t="n">
        <v>43</v>
      </c>
      <c r="K5" s="27" t="n">
        <v>0.8357</v>
      </c>
      <c r="L5" s="28" t="n">
        <f aca="false">ABS(H5-G5)/G5</f>
        <v>0.0026591760299626</v>
      </c>
      <c r="M5" s="29" t="n">
        <v>0.03</v>
      </c>
      <c r="N5" s="12" t="str">
        <f aca="false">IF(L5&lt;=M5,"PASS","FAIL")</f>
        <v>PASS</v>
      </c>
      <c r="O5" s="5" t="s">
        <v>91</v>
      </c>
      <c r="P5" s="13" t="str">
        <f aca="false">HYPERLINK("https://doi.org/"&amp;O5,"open")</f>
        <v>open</v>
      </c>
    </row>
    <row r="6" customFormat="false" ht="15" hidden="false" customHeight="false" outlineLevel="0" collapsed="false">
      <c r="A6" s="8" t="s">
        <v>488</v>
      </c>
      <c r="B6" s="22" t="n">
        <v>130</v>
      </c>
      <c r="C6" s="30" t="n">
        <v>1600000000000000</v>
      </c>
      <c r="D6" s="22" t="n">
        <v>50</v>
      </c>
      <c r="E6" s="22" t="n">
        <v>1.1</v>
      </c>
      <c r="F6" s="22" t="n">
        <v>0.1</v>
      </c>
      <c r="G6" s="22" t="n">
        <v>26.81</v>
      </c>
      <c r="H6" s="31" t="n">
        <v>26.755</v>
      </c>
      <c r="I6" s="32" t="n">
        <v>0.7539</v>
      </c>
      <c r="J6" s="31" t="n">
        <v>41.8</v>
      </c>
      <c r="K6" s="32" t="n">
        <v>0.849</v>
      </c>
      <c r="L6" s="33" t="n">
        <f aca="false">ABS(H6-G6)/G6</f>
        <v>0.00205147333084669</v>
      </c>
      <c r="M6" s="34" t="n">
        <v>0.03</v>
      </c>
      <c r="N6" s="9" t="str">
        <f aca="false">IF(L6&lt;=M6,"PASS","FAIL")</f>
        <v>PASS</v>
      </c>
      <c r="O6" s="7" t="s">
        <v>95</v>
      </c>
      <c r="P6" s="15" t="str">
        <f aca="false">HYPERLINK("https://doi.org/"&amp;O6,"open")</f>
        <v>open</v>
      </c>
    </row>
    <row r="7" customFormat="false" ht="23.85" hidden="false" customHeight="false" outlineLevel="0" collapsed="false">
      <c r="A7" s="6" t="s">
        <v>489</v>
      </c>
      <c r="B7" s="21" t="n">
        <v>200</v>
      </c>
      <c r="C7" s="25" t="n">
        <v>10000000000000000</v>
      </c>
      <c r="D7" s="21" t="n">
        <v>12</v>
      </c>
      <c r="E7" s="21" t="n">
        <v>4</v>
      </c>
      <c r="F7" s="21" t="n">
        <v>0.3</v>
      </c>
      <c r="G7" s="21" t="n">
        <v>26</v>
      </c>
      <c r="H7" s="26" t="n">
        <v>25.981</v>
      </c>
      <c r="I7" s="27" t="n">
        <v>0.7328</v>
      </c>
      <c r="J7" s="26" t="n">
        <v>42.46</v>
      </c>
      <c r="K7" s="27" t="n">
        <v>0.8349</v>
      </c>
      <c r="L7" s="28" t="n">
        <f aca="false">ABS(H7-G7)/G7</f>
        <v>0.000730769230769167</v>
      </c>
      <c r="M7" s="29" t="n">
        <v>0.03</v>
      </c>
      <c r="N7" s="12" t="str">
        <f aca="false">IF(L7&lt;=M7,"PASS","FAIL")</f>
        <v>PASS</v>
      </c>
      <c r="O7" s="5" t="s">
        <v>99</v>
      </c>
      <c r="P7" s="13" t="str">
        <f aca="false">HYPERLINK("https://doi.org/"&amp;O7,"open")</f>
        <v>open</v>
      </c>
    </row>
    <row r="8" customFormat="false" ht="15" hidden="false" customHeight="false" outlineLevel="0" collapsed="false">
      <c r="A8" s="8" t="s">
        <v>490</v>
      </c>
      <c r="B8" s="22" t="n">
        <v>170</v>
      </c>
      <c r="C8" s="30" t="n">
        <v>9000000000000000</v>
      </c>
      <c r="D8" s="22" t="n">
        <v>1.2</v>
      </c>
      <c r="E8" s="22" t="n">
        <v>45</v>
      </c>
      <c r="F8" s="22" t="n">
        <v>0.45</v>
      </c>
      <c r="G8" s="22" t="n">
        <v>24.06</v>
      </c>
      <c r="H8" s="31" t="n">
        <v>23.601</v>
      </c>
      <c r="I8" s="32" t="n">
        <v>0.7023</v>
      </c>
      <c r="J8" s="31" t="n">
        <v>41.1</v>
      </c>
      <c r="K8" s="32" t="n">
        <v>0.8176</v>
      </c>
      <c r="L8" s="33" t="n">
        <f aca="false">ABS(H8-G8)/G8</f>
        <v>0.0190773067331671</v>
      </c>
      <c r="M8" s="34" t="n">
        <v>0.05</v>
      </c>
      <c r="N8" s="9" t="str">
        <f aca="false">IF(L8&lt;=M8,"PASS","FAIL")</f>
        <v>PASS</v>
      </c>
      <c r="O8" s="7" t="s">
        <v>107</v>
      </c>
      <c r="P8" s="15" t="str">
        <f aca="false">HYPERLINK("https://doi.org/"&amp;O8,"open")</f>
        <v>open</v>
      </c>
    </row>
    <row r="9" customFormat="false" ht="15" hidden="false" customHeight="false" outlineLevel="0" collapsed="false">
      <c r="A9" s="6" t="s">
        <v>491</v>
      </c>
      <c r="B9" s="21" t="n">
        <v>180</v>
      </c>
      <c r="C9" s="25" t="n">
        <v>15000000000000000</v>
      </c>
      <c r="D9" s="21" t="n">
        <v>0.25</v>
      </c>
      <c r="E9" s="21" t="n">
        <v>350</v>
      </c>
      <c r="F9" s="21" t="n">
        <v>0.75</v>
      </c>
      <c r="G9" s="21" t="n">
        <v>20.1</v>
      </c>
      <c r="H9" s="26" t="n">
        <v>20.163</v>
      </c>
      <c r="I9" s="27" t="n">
        <v>0.6525</v>
      </c>
      <c r="J9" s="26" t="n">
        <v>38.8</v>
      </c>
      <c r="K9" s="27" t="n">
        <v>0.7964</v>
      </c>
      <c r="L9" s="28" t="n">
        <f aca="false">ABS(H9-G9)/G9</f>
        <v>0.0031343283582089</v>
      </c>
      <c r="M9" s="29" t="n">
        <v>0.06</v>
      </c>
      <c r="N9" s="12" t="str">
        <f aca="false">IF(L9&lt;=M9,"PASS","FAIL")</f>
        <v>PASS</v>
      </c>
      <c r="O9" s="5" t="s">
        <v>107</v>
      </c>
      <c r="P9" s="13" t="str">
        <f aca="false">HYPERLINK("https://doi.org/"&amp;O9,"open")</f>
        <v>open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4" min="11" style="0" width="8"/>
    <col collapsed="false" customWidth="true" hidden="false" outlineLevel="0" max="16" min="15" style="0" width="7"/>
    <col collapsed="false" customWidth="true" hidden="false" outlineLevel="0" max="17" min="17" style="0" width="24"/>
    <col collapsed="false" customWidth="true" hidden="false" outlineLevel="0" max="18" min="18" style="0" width="7"/>
  </cols>
  <sheetData>
    <row r="1" customFormat="false" ht="17.35" hidden="false" customHeight="false" outlineLevel="0" collapsed="false">
      <c r="A1" s="1" t="s">
        <v>492</v>
      </c>
    </row>
    <row r="2" customFormat="false" ht="15" hidden="false" customHeight="false" outlineLevel="0" collapsed="false">
      <c r="A2" s="2" t="s">
        <v>493</v>
      </c>
    </row>
    <row r="4" customFormat="false" ht="23.85" hidden="false" customHeight="false" outlineLevel="0" collapsed="false">
      <c r="A4" s="4" t="s">
        <v>494</v>
      </c>
      <c r="B4" s="4" t="s">
        <v>495</v>
      </c>
      <c r="C4" s="4" t="s">
        <v>496</v>
      </c>
      <c r="D4" s="4" t="s">
        <v>497</v>
      </c>
      <c r="E4" s="4" t="s">
        <v>498</v>
      </c>
      <c r="F4" s="4" t="s">
        <v>499</v>
      </c>
      <c r="G4" s="4" t="s">
        <v>477</v>
      </c>
      <c r="H4" s="4" t="s">
        <v>478</v>
      </c>
      <c r="I4" s="4" t="s">
        <v>479</v>
      </c>
      <c r="J4" s="4" t="s">
        <v>500</v>
      </c>
      <c r="K4" s="4" t="s">
        <v>501</v>
      </c>
      <c r="L4" s="4" t="s">
        <v>481</v>
      </c>
      <c r="M4" s="4" t="s">
        <v>482</v>
      </c>
      <c r="N4" s="4" t="s">
        <v>483</v>
      </c>
      <c r="O4" s="4" t="s">
        <v>484</v>
      </c>
      <c r="P4" s="4" t="s">
        <v>485</v>
      </c>
      <c r="Q4" s="4" t="s">
        <v>46</v>
      </c>
      <c r="R4" s="4" t="s">
        <v>486</v>
      </c>
    </row>
    <row r="5" customFormat="false" ht="15" hidden="false" customHeight="false" outlineLevel="0" collapsed="false">
      <c r="A5" s="6" t="s">
        <v>502</v>
      </c>
      <c r="B5" s="35" t="n">
        <v>1.33</v>
      </c>
      <c r="C5" s="35" t="n">
        <v>0.5</v>
      </c>
      <c r="D5" s="35" t="n">
        <v>0.769</v>
      </c>
      <c r="E5" s="35" t="n">
        <v>100</v>
      </c>
      <c r="F5" s="35" t="n">
        <v>1.52</v>
      </c>
      <c r="G5" s="35" t="n">
        <v>2.2</v>
      </c>
      <c r="H5" s="21" t="n">
        <v>15.7</v>
      </c>
      <c r="I5" s="26" t="n">
        <v>15.568</v>
      </c>
      <c r="J5" s="26" t="n">
        <v>14.88</v>
      </c>
      <c r="K5" s="36" t="n">
        <v>0.8291</v>
      </c>
      <c r="L5" s="26" t="n">
        <v>25.29</v>
      </c>
      <c r="M5" s="36" t="n">
        <v>0.7424</v>
      </c>
      <c r="N5" s="28" t="n">
        <f aca="false">ABS(I5-H5)/H5</f>
        <v>0.00840764331210189</v>
      </c>
      <c r="O5" s="29" t="n">
        <v>0.04</v>
      </c>
      <c r="P5" s="12" t="str">
        <f aca="false">IF(N5&lt;=O5,"PASS","FAIL")</f>
        <v>PASS</v>
      </c>
      <c r="Q5" s="5" t="s">
        <v>111</v>
      </c>
      <c r="R5" s="13" t="str">
        <f aca="false">HYPERLINK("https://doi.org/"&amp;Q5,"open")</f>
        <v>open</v>
      </c>
    </row>
    <row r="6" customFormat="false" ht="15" hidden="false" customHeight="false" outlineLevel="0" collapsed="false">
      <c r="A6" s="8" t="s">
        <v>503</v>
      </c>
      <c r="B6" s="37" t="n">
        <v>1.4</v>
      </c>
      <c r="C6" s="37" t="n">
        <v>0.53</v>
      </c>
      <c r="D6" s="37" t="n">
        <v>0.854</v>
      </c>
      <c r="E6" s="37" t="n">
        <v>105</v>
      </c>
      <c r="F6" s="37" t="n">
        <v>1.24</v>
      </c>
      <c r="G6" s="37" t="n">
        <v>1</v>
      </c>
      <c r="H6" s="22" t="n">
        <v>18.32</v>
      </c>
      <c r="I6" s="31" t="n">
        <v>18.204</v>
      </c>
      <c r="J6" s="7" t="s">
        <v>504</v>
      </c>
      <c r="K6" s="38" t="n">
        <v>0.8696</v>
      </c>
      <c r="L6" s="31" t="n">
        <v>25.81</v>
      </c>
      <c r="M6" s="38" t="n">
        <v>0.8112</v>
      </c>
      <c r="N6" s="33" t="n">
        <f aca="false">ABS(I6-H6)/H6</f>
        <v>0.00633187772925762</v>
      </c>
      <c r="O6" s="34" t="n">
        <v>0.04</v>
      </c>
      <c r="P6" s="9" t="str">
        <f aca="false">IF(N6&lt;=O6,"PASS","FAIL")</f>
        <v>PASS</v>
      </c>
      <c r="Q6" s="7" t="s">
        <v>115</v>
      </c>
      <c r="R6" s="15" t="str">
        <f aca="false">HYPERLINK("https://doi.org/"&amp;Q6,"open")</f>
        <v>open</v>
      </c>
    </row>
    <row r="7" customFormat="false" ht="23.85" hidden="false" customHeight="false" outlineLevel="0" collapsed="false">
      <c r="A7" s="6" t="s">
        <v>505</v>
      </c>
      <c r="B7" s="35" t="n">
        <v>1.38</v>
      </c>
      <c r="C7" s="35" t="n">
        <v>0.501</v>
      </c>
      <c r="D7" s="35" t="n">
        <v>0.861</v>
      </c>
      <c r="E7" s="35" t="n">
        <v>110</v>
      </c>
      <c r="F7" s="35" t="n">
        <v>1.22</v>
      </c>
      <c r="G7" s="35" t="n">
        <v>0.9</v>
      </c>
      <c r="H7" s="21" t="n">
        <v>19</v>
      </c>
      <c r="I7" s="26" t="n">
        <v>19.195</v>
      </c>
      <c r="J7" s="5" t="s">
        <v>504</v>
      </c>
      <c r="K7" s="36" t="n">
        <v>0.8787</v>
      </c>
      <c r="L7" s="26" t="n">
        <v>26.69</v>
      </c>
      <c r="M7" s="36" t="n">
        <v>0.8183</v>
      </c>
      <c r="N7" s="28" t="n">
        <f aca="false">ABS(I7-H7)/H7</f>
        <v>0.0102631578947369</v>
      </c>
      <c r="O7" s="29" t="n">
        <v>0.04</v>
      </c>
      <c r="P7" s="12" t="str">
        <f aca="false">IF(N7&lt;=O7,"PASS","FAIL")</f>
        <v>PASS</v>
      </c>
      <c r="Q7" s="5" t="s">
        <v>119</v>
      </c>
      <c r="R7" s="13" t="str">
        <f aca="false">HYPERLINK("https://doi.org/"&amp;Q7,"open")</f>
        <v>open</v>
      </c>
    </row>
    <row r="8" customFormat="false" ht="23.85" hidden="false" customHeight="false" outlineLevel="0" collapsed="false">
      <c r="A8" s="8" t="s">
        <v>506</v>
      </c>
      <c r="B8" s="37" t="n">
        <v>1.42</v>
      </c>
      <c r="C8" s="37" t="n">
        <v>0.526</v>
      </c>
      <c r="D8" s="37" t="n">
        <v>0.95</v>
      </c>
      <c r="E8" s="37" t="n">
        <v>110</v>
      </c>
      <c r="F8" s="37" t="n">
        <v>1.18</v>
      </c>
      <c r="G8" s="37" t="n">
        <v>0.8</v>
      </c>
      <c r="H8" s="22" t="n">
        <v>20.42</v>
      </c>
      <c r="I8" s="31" t="n">
        <v>20.672</v>
      </c>
      <c r="J8" s="7" t="s">
        <v>504</v>
      </c>
      <c r="K8" s="38" t="n">
        <v>0.8938</v>
      </c>
      <c r="L8" s="31" t="n">
        <v>27.97</v>
      </c>
      <c r="M8" s="38" t="n">
        <v>0.827</v>
      </c>
      <c r="N8" s="33" t="n">
        <f aca="false">ABS(I8-H8)/H8</f>
        <v>0.0123408423114593</v>
      </c>
      <c r="O8" s="34" t="n">
        <v>0.04</v>
      </c>
      <c r="P8" s="9" t="str">
        <f aca="false">IF(N8&lt;=O8,"PASS","FAIL")</f>
        <v>PASS</v>
      </c>
      <c r="Q8" s="7" t="s">
        <v>123</v>
      </c>
      <c r="R8" s="15" t="str">
        <f aca="false">HYPERLINK("https://doi.org/"&amp;Q8,"open")</f>
        <v>open</v>
      </c>
    </row>
    <row r="9" customFormat="false" ht="15" hidden="false" customHeight="false" outlineLevel="0" collapsed="false">
      <c r="A9" s="6" t="s">
        <v>507</v>
      </c>
      <c r="B9" s="35" t="n">
        <v>1.85</v>
      </c>
      <c r="C9" s="35" t="n">
        <v>1.25</v>
      </c>
      <c r="D9" s="35" t="n">
        <v>0.643</v>
      </c>
      <c r="E9" s="35" t="n">
        <v>200</v>
      </c>
      <c r="F9" s="35" t="n">
        <v>1.6</v>
      </c>
      <c r="G9" s="35" t="n">
        <v>3</v>
      </c>
      <c r="H9" s="21" t="n">
        <v>4</v>
      </c>
      <c r="I9" s="26" t="n">
        <v>4.05</v>
      </c>
      <c r="J9" s="26" t="n">
        <v>4.065</v>
      </c>
      <c r="K9" s="36" t="n">
        <v>0.5968</v>
      </c>
      <c r="L9" s="26" t="n">
        <v>10.01</v>
      </c>
      <c r="M9" s="36" t="n">
        <v>0.6781</v>
      </c>
      <c r="N9" s="28" t="n">
        <f aca="false">ABS(I9-H9)/H9</f>
        <v>0.0125</v>
      </c>
      <c r="O9" s="29" t="n">
        <v>0.25</v>
      </c>
      <c r="P9" s="12" t="str">
        <f aca="false">IF(N9&lt;=O9,"PASS","FAIL")</f>
        <v>PASS</v>
      </c>
      <c r="Q9" s="5" t="s">
        <v>127</v>
      </c>
      <c r="R9" s="13" t="str">
        <f aca="false">HYPERLINK("https://doi.org/"&amp;Q9,"open")</f>
        <v>open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4" min="13" style="0" width="7"/>
    <col collapsed="false" customWidth="true" hidden="false" outlineLevel="0" max="15" min="15" style="0" width="26"/>
    <col collapsed="false" customWidth="true" hidden="false" outlineLevel="0" max="16" min="16" style="0" width="7"/>
  </cols>
  <sheetData>
    <row r="1" customFormat="false" ht="17.35" hidden="false" customHeight="false" outlineLevel="0" collapsed="false">
      <c r="A1" s="1" t="s">
        <v>508</v>
      </c>
    </row>
    <row r="2" customFormat="false" ht="15" hidden="false" customHeight="false" outlineLevel="0" collapsed="false">
      <c r="A2" s="2" t="s">
        <v>509</v>
      </c>
    </row>
    <row r="4" customFormat="false" ht="23.85" hidden="false" customHeight="false" outlineLevel="0" collapsed="false">
      <c r="A4" s="4" t="s">
        <v>510</v>
      </c>
      <c r="B4" s="4" t="s">
        <v>511</v>
      </c>
      <c r="C4" s="4" t="s">
        <v>512</v>
      </c>
      <c r="D4" s="4" t="s">
        <v>513</v>
      </c>
      <c r="E4" s="4" t="s">
        <v>514</v>
      </c>
      <c r="F4" s="4" t="s">
        <v>515</v>
      </c>
      <c r="G4" s="4" t="s">
        <v>478</v>
      </c>
      <c r="H4" s="4" t="s">
        <v>479</v>
      </c>
      <c r="I4" s="4" t="s">
        <v>480</v>
      </c>
      <c r="J4" s="4" t="s">
        <v>481</v>
      </c>
      <c r="K4" s="4" t="s">
        <v>482</v>
      </c>
      <c r="L4" s="4" t="s">
        <v>483</v>
      </c>
      <c r="M4" s="4" t="s">
        <v>484</v>
      </c>
      <c r="N4" s="4" t="s">
        <v>485</v>
      </c>
      <c r="O4" s="4" t="s">
        <v>46</v>
      </c>
      <c r="P4" s="4" t="s">
        <v>486</v>
      </c>
    </row>
    <row r="5" customFormat="false" ht="15" hidden="false" customHeight="false" outlineLevel="0" collapsed="false">
      <c r="A5" s="5" t="s">
        <v>516</v>
      </c>
      <c r="B5" s="25" t="n">
        <v>200000000000000</v>
      </c>
      <c r="C5" s="35" t="n">
        <v>0.07</v>
      </c>
      <c r="D5" s="35" t="n">
        <v>0.05</v>
      </c>
      <c r="E5" s="35" t="n">
        <v>4.5</v>
      </c>
      <c r="F5" s="35" t="n">
        <v>650</v>
      </c>
      <c r="G5" s="21" t="n">
        <v>29.15</v>
      </c>
      <c r="H5" s="26" t="n">
        <v>29.155</v>
      </c>
      <c r="I5" s="36" t="n">
        <v>1.9215</v>
      </c>
      <c r="J5" s="26" t="n">
        <v>17.9</v>
      </c>
      <c r="K5" s="36" t="n">
        <v>0.8474</v>
      </c>
      <c r="L5" s="28" t="n">
        <f aca="false">ABS(H5-G5)/G5</f>
        <v>0.000171526586621014</v>
      </c>
      <c r="M5" s="29" t="n">
        <v>0.05</v>
      </c>
      <c r="N5" s="12" t="str">
        <f aca="false">IF(L5&lt;=M5,"PASS","FAIL")</f>
        <v>PASS</v>
      </c>
      <c r="O5" s="5" t="s">
        <v>135</v>
      </c>
      <c r="P5" s="13" t="str">
        <f aca="false">HYPERLINK("https://doi.org/"&amp;O5,"open")</f>
        <v>open</v>
      </c>
    </row>
    <row r="6" customFormat="false" ht="15" hidden="false" customHeight="false" outlineLevel="0" collapsed="false">
      <c r="A6" s="7" t="s">
        <v>517</v>
      </c>
      <c r="B6" s="30" t="n">
        <v>100000000000000</v>
      </c>
      <c r="C6" s="37" t="n">
        <v>0.05</v>
      </c>
      <c r="D6" s="37" t="n">
        <v>0.035</v>
      </c>
      <c r="E6" s="37" t="n">
        <v>2.5</v>
      </c>
      <c r="F6" s="37" t="n">
        <v>700</v>
      </c>
      <c r="G6" s="22" t="n">
        <v>31.875</v>
      </c>
      <c r="H6" s="31" t="n">
        <v>31.751</v>
      </c>
      <c r="I6" s="38" t="n">
        <v>1.9401</v>
      </c>
      <c r="J6" s="31" t="n">
        <v>19.01</v>
      </c>
      <c r="K6" s="38" t="n">
        <v>0.8608</v>
      </c>
      <c r="L6" s="33" t="n">
        <f aca="false">ABS(H6-G6)/G6</f>
        <v>0.00389019607843133</v>
      </c>
      <c r="M6" s="34" t="n">
        <v>0.05</v>
      </c>
      <c r="N6" s="9" t="str">
        <f aca="false">IF(L6&lt;=M6,"PASS","FAIL")</f>
        <v>PASS</v>
      </c>
      <c r="O6" s="7" t="s">
        <v>139</v>
      </c>
      <c r="P6" s="15" t="str">
        <f aca="false">HYPERLINK("https://doi.org/"&amp;O6,"open")</f>
        <v>open</v>
      </c>
    </row>
    <row r="7" customFormat="false" ht="15" hidden="false" customHeight="false" outlineLevel="0" collapsed="false">
      <c r="A7" s="5" t="s">
        <v>518</v>
      </c>
      <c r="B7" s="25" t="n">
        <v>30000000000000</v>
      </c>
      <c r="C7" s="35" t="n">
        <v>0.03</v>
      </c>
      <c r="D7" s="35" t="n">
        <v>0.02</v>
      </c>
      <c r="E7" s="35" t="n">
        <v>1.5</v>
      </c>
      <c r="F7" s="35" t="n">
        <v>800</v>
      </c>
      <c r="G7" s="21" t="n">
        <v>34.58</v>
      </c>
      <c r="H7" s="26" t="n">
        <v>34.163</v>
      </c>
      <c r="I7" s="36" t="n">
        <v>1.9718</v>
      </c>
      <c r="J7" s="26" t="n">
        <v>20.02</v>
      </c>
      <c r="K7" s="36" t="n">
        <v>0.8656</v>
      </c>
      <c r="L7" s="28" t="n">
        <f aca="false">ABS(H7-G7)/G7</f>
        <v>0.0120589936379411</v>
      </c>
      <c r="M7" s="29" t="n">
        <v>0.05</v>
      </c>
      <c r="N7" s="12" t="str">
        <f aca="false">IF(L7&lt;=M7,"PASS","FAIL")</f>
        <v>PASS</v>
      </c>
      <c r="O7" s="5" t="s">
        <v>147</v>
      </c>
      <c r="P7" s="13" t="str">
        <f aca="false">HYPERLINK("https://doi.org/"&amp;O7,"open")</f>
        <v>open</v>
      </c>
    </row>
    <row r="9" customFormat="false" ht="15" hidden="false" customHeight="true" outlineLevel="0" collapsed="false">
      <c r="A9" s="6" t="s">
        <v>519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</sheetData>
  <mergeCells count="1">
    <mergeCell ref="A9:P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26"/>
    <col collapsed="false" customWidth="true" hidden="false" outlineLevel="0" max="12" min="12" style="0" width="7"/>
  </cols>
  <sheetData>
    <row r="1" customFormat="false" ht="17.35" hidden="false" customHeight="false" outlineLevel="0" collapsed="false">
      <c r="A1" s="1" t="s">
        <v>520</v>
      </c>
    </row>
    <row r="2" customFormat="false" ht="15" hidden="false" customHeight="false" outlineLevel="0" collapsed="false">
      <c r="A2" s="2" t="s">
        <v>521</v>
      </c>
    </row>
    <row r="4" customFormat="false" ht="23.85" hidden="false" customHeight="false" outlineLevel="0" collapsed="false">
      <c r="A4" s="4" t="s">
        <v>522</v>
      </c>
      <c r="B4" s="4" t="s">
        <v>523</v>
      </c>
      <c r="C4" s="4" t="s">
        <v>524</v>
      </c>
      <c r="D4" s="4" t="s">
        <v>478</v>
      </c>
      <c r="E4" s="4" t="s">
        <v>479</v>
      </c>
      <c r="F4" s="4" t="s">
        <v>480</v>
      </c>
      <c r="G4" s="4" t="s">
        <v>481</v>
      </c>
      <c r="H4" s="4" t="s">
        <v>483</v>
      </c>
      <c r="I4" s="4" t="s">
        <v>525</v>
      </c>
      <c r="J4" s="4" t="s">
        <v>485</v>
      </c>
      <c r="K4" s="4" t="s">
        <v>46</v>
      </c>
      <c r="L4" s="4" t="s">
        <v>486</v>
      </c>
    </row>
    <row r="5" customFormat="false" ht="15" hidden="false" customHeight="false" outlineLevel="0" collapsed="false">
      <c r="A5" s="5" t="s">
        <v>526</v>
      </c>
      <c r="B5" s="5" t="s">
        <v>527</v>
      </c>
      <c r="C5" s="5" t="s">
        <v>89</v>
      </c>
      <c r="D5" s="21" t="n">
        <v>26.7</v>
      </c>
      <c r="E5" s="26" t="n">
        <v>26.7706</v>
      </c>
      <c r="F5" s="36" t="n">
        <v>0.745</v>
      </c>
      <c r="G5" s="26" t="n">
        <v>42.9954</v>
      </c>
      <c r="H5" s="28" t="n">
        <f aca="false">ABS(E5-D5)/D5</f>
        <v>0.0026441947565544</v>
      </c>
      <c r="I5" s="29" t="n">
        <v>0.03</v>
      </c>
      <c r="J5" s="12" t="str">
        <f aca="false">IF(H5&lt;=I5,"PASS","FAIL")</f>
        <v>PASS</v>
      </c>
      <c r="K5" s="5" t="s">
        <v>91</v>
      </c>
      <c r="L5" s="13" t="str">
        <f aca="false">HYPERLINK("https://doi.org/"&amp;K5,"open")</f>
        <v>open</v>
      </c>
    </row>
    <row r="6" customFormat="false" ht="15" hidden="false" customHeight="false" outlineLevel="0" collapsed="false">
      <c r="A6" s="7" t="s">
        <v>528</v>
      </c>
      <c r="B6" s="7" t="s">
        <v>527</v>
      </c>
      <c r="C6" s="7" t="s">
        <v>93</v>
      </c>
      <c r="D6" s="22" t="n">
        <v>26.81</v>
      </c>
      <c r="E6" s="31" t="n">
        <v>26.7548</v>
      </c>
      <c r="F6" s="38" t="n">
        <v>0.7539</v>
      </c>
      <c r="G6" s="31" t="n">
        <v>41.8022</v>
      </c>
      <c r="H6" s="33" t="n">
        <f aca="false">ABS(E6-D6)/D6</f>
        <v>0.00205893323386793</v>
      </c>
      <c r="I6" s="34" t="n">
        <v>0.03</v>
      </c>
      <c r="J6" s="9" t="str">
        <f aca="false">IF(H6&lt;=I6,"PASS","FAIL")</f>
        <v>PASS</v>
      </c>
      <c r="K6" s="7" t="s">
        <v>95</v>
      </c>
      <c r="L6" s="15" t="str">
        <f aca="false">HYPERLINK("https://doi.org/"&amp;K6,"open")</f>
        <v>open</v>
      </c>
    </row>
    <row r="7" customFormat="false" ht="15" hidden="false" customHeight="false" outlineLevel="0" collapsed="false">
      <c r="A7" s="5" t="s">
        <v>529</v>
      </c>
      <c r="B7" s="5" t="s">
        <v>527</v>
      </c>
      <c r="C7" s="5" t="s">
        <v>97</v>
      </c>
      <c r="D7" s="21" t="n">
        <v>26</v>
      </c>
      <c r="E7" s="26" t="n">
        <v>25.9811</v>
      </c>
      <c r="F7" s="36" t="n">
        <v>0.7328</v>
      </c>
      <c r="G7" s="26" t="n">
        <v>42.4621</v>
      </c>
      <c r="H7" s="28" t="n">
        <f aca="false">ABS(E7-D7)/D7</f>
        <v>0.000726923076923023</v>
      </c>
      <c r="I7" s="29" t="n">
        <v>0.03</v>
      </c>
      <c r="J7" s="12" t="str">
        <f aca="false">IF(H7&lt;=I7,"PASS","FAIL")</f>
        <v>PASS</v>
      </c>
      <c r="K7" s="5" t="s">
        <v>99</v>
      </c>
      <c r="L7" s="13" t="str">
        <f aca="false">HYPERLINK("https://doi.org/"&amp;K7,"open")</f>
        <v>open</v>
      </c>
    </row>
    <row r="8" customFormat="false" ht="15" hidden="false" customHeight="false" outlineLevel="0" collapsed="false">
      <c r="A8" s="7" t="s">
        <v>530</v>
      </c>
      <c r="B8" s="7" t="s">
        <v>527</v>
      </c>
      <c r="C8" s="7" t="s">
        <v>105</v>
      </c>
      <c r="D8" s="22" t="n">
        <v>24.06</v>
      </c>
      <c r="E8" s="31" t="n">
        <v>23.6008</v>
      </c>
      <c r="F8" s="38" t="n">
        <v>0.7023</v>
      </c>
      <c r="G8" s="31" t="n">
        <v>41.1026</v>
      </c>
      <c r="H8" s="33" t="n">
        <f aca="false">ABS(E8-D8)/D8</f>
        <v>0.0190856192851205</v>
      </c>
      <c r="I8" s="34" t="n">
        <v>0.05</v>
      </c>
      <c r="J8" s="9" t="str">
        <f aca="false">IF(H8&lt;=I8,"PASS","FAIL")</f>
        <v>PASS</v>
      </c>
      <c r="K8" s="7" t="s">
        <v>107</v>
      </c>
      <c r="L8" s="15" t="str">
        <f aca="false">HYPERLINK("https://doi.org/"&amp;K8,"open")</f>
        <v>open</v>
      </c>
    </row>
    <row r="9" customFormat="false" ht="15" hidden="false" customHeight="false" outlineLevel="0" collapsed="false">
      <c r="A9" s="5" t="s">
        <v>531</v>
      </c>
      <c r="B9" s="5" t="s">
        <v>527</v>
      </c>
      <c r="C9" s="5" t="s">
        <v>105</v>
      </c>
      <c r="D9" s="21" t="n">
        <v>20.1</v>
      </c>
      <c r="E9" s="26" t="n">
        <v>20.1627</v>
      </c>
      <c r="F9" s="36" t="n">
        <v>0.6525</v>
      </c>
      <c r="G9" s="26" t="n">
        <v>38.8011</v>
      </c>
      <c r="H9" s="28" t="n">
        <f aca="false">ABS(E9-D9)/D9</f>
        <v>0.0031194029850746</v>
      </c>
      <c r="I9" s="29" t="n">
        <v>0.06</v>
      </c>
      <c r="J9" s="12" t="str">
        <f aca="false">IF(H9&lt;=I9,"PASS","FAIL")</f>
        <v>PASS</v>
      </c>
      <c r="K9" s="5" t="s">
        <v>107</v>
      </c>
      <c r="L9" s="13" t="str">
        <f aca="false">HYPERLINK("https://doi.org/"&amp;K9,"open")</f>
        <v>open</v>
      </c>
    </row>
    <row r="10" customFormat="false" ht="15" hidden="false" customHeight="false" outlineLevel="0" collapsed="false">
      <c r="A10" s="7" t="s">
        <v>532</v>
      </c>
      <c r="B10" s="7" t="s">
        <v>533</v>
      </c>
      <c r="C10" s="7" t="s">
        <v>109</v>
      </c>
      <c r="D10" s="22" t="n">
        <v>15.7</v>
      </c>
      <c r="E10" s="31" t="n">
        <v>15.568</v>
      </c>
      <c r="F10" s="38" t="n">
        <v>0.8291</v>
      </c>
      <c r="G10" s="31" t="n">
        <v>25.2916</v>
      </c>
      <c r="H10" s="33" t="n">
        <f aca="false">ABS(E10-D10)/D10</f>
        <v>0.00840764331210189</v>
      </c>
      <c r="I10" s="34" t="n">
        <v>0.04</v>
      </c>
      <c r="J10" s="9" t="str">
        <f aca="false">IF(H10&lt;=I10,"PASS","FAIL")</f>
        <v>PASS</v>
      </c>
      <c r="K10" s="7" t="s">
        <v>111</v>
      </c>
      <c r="L10" s="15" t="str">
        <f aca="false">HYPERLINK("https://doi.org/"&amp;K10,"open")</f>
        <v>open</v>
      </c>
    </row>
    <row r="11" customFormat="false" ht="15" hidden="false" customHeight="false" outlineLevel="0" collapsed="false">
      <c r="A11" s="5" t="s">
        <v>534</v>
      </c>
      <c r="B11" s="5" t="s">
        <v>533</v>
      </c>
      <c r="C11" s="5" t="s">
        <v>109</v>
      </c>
      <c r="D11" s="21" t="n">
        <v>13.6</v>
      </c>
      <c r="E11" s="26" t="n">
        <v>13.4237</v>
      </c>
      <c r="F11" s="36" t="n">
        <v>0.8289</v>
      </c>
      <c r="G11" s="26" t="n">
        <v>21.6439</v>
      </c>
      <c r="H11" s="28" t="n">
        <f aca="false">ABS(E11-D11)/D11</f>
        <v>0.0129632352941176</v>
      </c>
      <c r="I11" s="29" t="n">
        <v>0.2</v>
      </c>
      <c r="J11" s="12" t="str">
        <f aca="false">IF(H11&lt;=I11,"PASS","FAIL")</f>
        <v>PASS</v>
      </c>
      <c r="K11" s="5" t="s">
        <v>111</v>
      </c>
      <c r="L11" s="13" t="str">
        <f aca="false">HYPERLINK("https://doi.org/"&amp;K11,"open")</f>
        <v>open</v>
      </c>
    </row>
    <row r="12" customFormat="false" ht="15" hidden="false" customHeight="false" outlineLevel="0" collapsed="false">
      <c r="A12" s="7" t="s">
        <v>535</v>
      </c>
      <c r="B12" s="7" t="s">
        <v>533</v>
      </c>
      <c r="C12" s="7" t="s">
        <v>113</v>
      </c>
      <c r="D12" s="22" t="n">
        <v>18.32</v>
      </c>
      <c r="E12" s="31" t="n">
        <v>18.204</v>
      </c>
      <c r="F12" s="38" t="n">
        <v>0.8696</v>
      </c>
      <c r="G12" s="31" t="n">
        <v>25.8052</v>
      </c>
      <c r="H12" s="33" t="n">
        <f aca="false">ABS(E12-D12)/D12</f>
        <v>0.00633187772925762</v>
      </c>
      <c r="I12" s="34" t="n">
        <v>0.04</v>
      </c>
      <c r="J12" s="9" t="str">
        <f aca="false">IF(H12&lt;=I12,"PASS","FAIL")</f>
        <v>PASS</v>
      </c>
      <c r="K12" s="7" t="s">
        <v>115</v>
      </c>
      <c r="L12" s="15" t="str">
        <f aca="false">HYPERLINK("https://doi.org/"&amp;K12,"open")</f>
        <v>open</v>
      </c>
    </row>
    <row r="13" customFormat="false" ht="15" hidden="false" customHeight="false" outlineLevel="0" collapsed="false">
      <c r="A13" s="5" t="s">
        <v>536</v>
      </c>
      <c r="B13" s="5" t="s">
        <v>533</v>
      </c>
      <c r="C13" s="5" t="s">
        <v>117</v>
      </c>
      <c r="D13" s="21" t="n">
        <v>19</v>
      </c>
      <c r="E13" s="26" t="n">
        <v>19.1946</v>
      </c>
      <c r="F13" s="36" t="n">
        <v>0.8787</v>
      </c>
      <c r="G13" s="26" t="n">
        <v>26.6947</v>
      </c>
      <c r="H13" s="28" t="n">
        <f aca="false">ABS(E13-D13)/D13</f>
        <v>0.010242105263158</v>
      </c>
      <c r="I13" s="29" t="n">
        <v>0.04</v>
      </c>
      <c r="J13" s="12" t="str">
        <f aca="false">IF(H13&lt;=I13,"PASS","FAIL")</f>
        <v>PASS</v>
      </c>
      <c r="K13" s="5" t="s">
        <v>119</v>
      </c>
      <c r="L13" s="13" t="str">
        <f aca="false">HYPERLINK("https://doi.org/"&amp;K13,"open")</f>
        <v>open</v>
      </c>
    </row>
    <row r="14" customFormat="false" ht="15" hidden="false" customHeight="false" outlineLevel="0" collapsed="false">
      <c r="A14" s="7" t="s">
        <v>537</v>
      </c>
      <c r="B14" s="7" t="s">
        <v>533</v>
      </c>
      <c r="C14" s="7" t="s">
        <v>121</v>
      </c>
      <c r="D14" s="22" t="n">
        <v>20.42</v>
      </c>
      <c r="E14" s="31" t="n">
        <v>20.6719</v>
      </c>
      <c r="F14" s="38" t="n">
        <v>0.8938</v>
      </c>
      <c r="G14" s="31" t="n">
        <v>27.9671</v>
      </c>
      <c r="H14" s="33" t="n">
        <f aca="false">ABS(E14-D14)/D14</f>
        <v>0.0123359451518119</v>
      </c>
      <c r="I14" s="34" t="n">
        <v>0.04</v>
      </c>
      <c r="J14" s="9" t="str">
        <f aca="false">IF(H14&lt;=I14,"PASS","FAIL")</f>
        <v>PASS</v>
      </c>
      <c r="K14" s="7" t="s">
        <v>123</v>
      </c>
      <c r="L14" s="15" t="str">
        <f aca="false">HYPERLINK("https://doi.org/"&amp;K14,"open")</f>
        <v>open</v>
      </c>
    </row>
    <row r="15" customFormat="false" ht="15" hidden="false" customHeight="false" outlineLevel="0" collapsed="false">
      <c r="A15" s="5" t="s">
        <v>538</v>
      </c>
      <c r="B15" s="5" t="s">
        <v>533</v>
      </c>
      <c r="C15" s="5" t="s">
        <v>125</v>
      </c>
      <c r="D15" s="21" t="n">
        <v>4</v>
      </c>
      <c r="E15" s="26" t="n">
        <v>4.0497</v>
      </c>
      <c r="F15" s="36" t="n">
        <v>0.5968</v>
      </c>
      <c r="G15" s="26" t="n">
        <v>10.0073</v>
      </c>
      <c r="H15" s="28" t="n">
        <f aca="false">ABS(E15-D15)/D15</f>
        <v>0.0124249999999999</v>
      </c>
      <c r="I15" s="29" t="n">
        <v>0.25</v>
      </c>
      <c r="J15" s="12" t="str">
        <f aca="false">IF(H15&lt;=I15,"PASS","FAIL")</f>
        <v>PASS</v>
      </c>
      <c r="K15" s="5" t="s">
        <v>127</v>
      </c>
      <c r="L15" s="13" t="str">
        <f aca="false">HYPERLINK("https://doi.org/"&amp;K15,"open")</f>
        <v>open</v>
      </c>
    </row>
    <row r="16" customFormat="false" ht="15" hidden="false" customHeight="false" outlineLevel="0" collapsed="false">
      <c r="A16" s="7" t="s">
        <v>539</v>
      </c>
      <c r="B16" s="7" t="s">
        <v>540</v>
      </c>
      <c r="C16" s="7" t="s">
        <v>133</v>
      </c>
      <c r="D16" s="22" t="n">
        <v>29.15</v>
      </c>
      <c r="E16" s="31" t="n">
        <v>29.1555</v>
      </c>
      <c r="F16" s="38" t="n">
        <v>1.9215</v>
      </c>
      <c r="G16" s="31" t="n">
        <v>17.9045</v>
      </c>
      <c r="H16" s="33" t="n">
        <f aca="false">ABS(E16-D16)/D16</f>
        <v>0.000188679245283067</v>
      </c>
      <c r="I16" s="34" t="n">
        <v>0.05</v>
      </c>
      <c r="J16" s="9" t="str">
        <f aca="false">IF(H16&lt;=I16,"PASS","FAIL")</f>
        <v>PASS</v>
      </c>
      <c r="K16" s="7" t="s">
        <v>135</v>
      </c>
      <c r="L16" s="15" t="str">
        <f aca="false">HYPERLINK("https://doi.org/"&amp;K16,"open")</f>
        <v>open</v>
      </c>
    </row>
    <row r="17" customFormat="false" ht="15" hidden="false" customHeight="false" outlineLevel="0" collapsed="false">
      <c r="A17" s="5" t="s">
        <v>541</v>
      </c>
      <c r="B17" s="5" t="s">
        <v>540</v>
      </c>
      <c r="C17" s="5" t="s">
        <v>137</v>
      </c>
      <c r="D17" s="21" t="n">
        <v>31.875</v>
      </c>
      <c r="E17" s="26" t="n">
        <v>31.7514</v>
      </c>
      <c r="F17" s="36" t="n">
        <v>1.9401</v>
      </c>
      <c r="G17" s="26" t="n">
        <v>19.0135</v>
      </c>
      <c r="H17" s="28" t="n">
        <f aca="false">ABS(E17-D17)/D17</f>
        <v>0.00387764705882352</v>
      </c>
      <c r="I17" s="29" t="n">
        <v>0.05</v>
      </c>
      <c r="J17" s="12" t="str">
        <f aca="false">IF(H17&lt;=I17,"PASS","FAIL")</f>
        <v>PASS</v>
      </c>
      <c r="K17" s="5" t="s">
        <v>139</v>
      </c>
      <c r="L17" s="13" t="str">
        <f aca="false">HYPERLINK("https://doi.org/"&amp;K17,"open")</f>
        <v>open</v>
      </c>
    </row>
    <row r="18" customFormat="false" ht="15" hidden="false" customHeight="false" outlineLevel="0" collapsed="false">
      <c r="A18" s="7" t="s">
        <v>542</v>
      </c>
      <c r="B18" s="7" t="s">
        <v>540</v>
      </c>
      <c r="C18" s="7" t="s">
        <v>145</v>
      </c>
      <c r="D18" s="22" t="n">
        <v>34.58</v>
      </c>
      <c r="E18" s="31" t="n">
        <v>34.1628</v>
      </c>
      <c r="F18" s="38" t="n">
        <v>1.9718</v>
      </c>
      <c r="G18" s="31" t="n">
        <v>20.016</v>
      </c>
      <c r="H18" s="33" t="n">
        <f aca="false">ABS(E18-D18)/D18</f>
        <v>0.0120647773279353</v>
      </c>
      <c r="I18" s="34" t="n">
        <v>0.05</v>
      </c>
      <c r="J18" s="9" t="str">
        <f aca="false">IF(H18&lt;=I18,"PASS","FAIL")</f>
        <v>PASS</v>
      </c>
      <c r="K18" s="7" t="s">
        <v>147</v>
      </c>
      <c r="L18" s="15" t="str">
        <f aca="false">HYPERLINK("https://doi.org/"&amp;K18,"open")</f>
        <v>open</v>
      </c>
    </row>
    <row r="20" customFormat="false" ht="15" hidden="false" customHeight="false" outlineLevel="0" collapsed="false">
      <c r="A20" s="12" t="s">
        <v>543</v>
      </c>
      <c r="D20" s="5" t="s">
        <v>544</v>
      </c>
      <c r="E20" s="10" t="n">
        <f aca="false">AVERAGE(H5:H18)</f>
        <v>0.0076051416942878</v>
      </c>
      <c r="F20" s="5" t="s">
        <v>545</v>
      </c>
      <c r="G20" s="10" t="n">
        <f aca="false">MAX(H5:H18)</f>
        <v>0.0190856192851205</v>
      </c>
      <c r="I20" s="5" t="s">
        <v>546</v>
      </c>
      <c r="J20" s="12" t="str">
        <f aca="false">COUNTIF(J5:J18,"PASS")&amp;"/14"</f>
        <v>14/14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" t="s">
        <v>547</v>
      </c>
    </row>
    <row r="2" customFormat="false" ht="15" hidden="false" customHeight="false" outlineLevel="0" collapsed="false">
      <c r="A2" s="2" t="s">
        <v>548</v>
      </c>
    </row>
    <row r="4" customFormat="false" ht="15" hidden="false" customHeight="false" outlineLevel="0" collapsed="false">
      <c r="A4" s="4" t="s">
        <v>522</v>
      </c>
      <c r="B4" s="4" t="s">
        <v>549</v>
      </c>
      <c r="C4" s="4" t="s">
        <v>550</v>
      </c>
      <c r="D4" s="4" t="s">
        <v>551</v>
      </c>
      <c r="E4" s="4" t="s">
        <v>485</v>
      </c>
    </row>
    <row r="5" customFormat="false" ht="15" hidden="false" customHeight="false" outlineLevel="0" collapsed="false">
      <c r="A5" s="12" t="s">
        <v>552</v>
      </c>
      <c r="B5" s="6" t="s">
        <v>553</v>
      </c>
      <c r="C5" s="6" t="s">
        <v>554</v>
      </c>
      <c r="D5" s="5" t="s">
        <v>555</v>
      </c>
      <c r="E5" s="14" t="s">
        <v>485</v>
      </c>
    </row>
    <row r="6" customFormat="false" ht="15" hidden="false" customHeight="false" outlineLevel="0" collapsed="false">
      <c r="A6" s="9" t="s">
        <v>556</v>
      </c>
      <c r="B6" s="8" t="s">
        <v>557</v>
      </c>
      <c r="C6" s="8" t="s">
        <v>558</v>
      </c>
      <c r="D6" s="7" t="s">
        <v>555</v>
      </c>
      <c r="E6" s="16" t="s">
        <v>485</v>
      </c>
    </row>
    <row r="7" customFormat="false" ht="23.85" hidden="false" customHeight="false" outlineLevel="0" collapsed="false">
      <c r="A7" s="12" t="s">
        <v>559</v>
      </c>
      <c r="B7" s="6" t="s">
        <v>560</v>
      </c>
      <c r="C7" s="6" t="s">
        <v>561</v>
      </c>
      <c r="D7" s="5" t="s">
        <v>555</v>
      </c>
      <c r="E7" s="14" t="s">
        <v>485</v>
      </c>
    </row>
    <row r="8" customFormat="false" ht="15" hidden="false" customHeight="false" outlineLevel="0" collapsed="false">
      <c r="A8" s="9" t="s">
        <v>562</v>
      </c>
      <c r="B8" s="8" t="s">
        <v>563</v>
      </c>
      <c r="C8" s="8" t="s">
        <v>564</v>
      </c>
      <c r="D8" s="7" t="s">
        <v>555</v>
      </c>
      <c r="E8" s="16" t="s">
        <v>485</v>
      </c>
    </row>
    <row r="9" customFormat="false" ht="15" hidden="false" customHeight="false" outlineLevel="0" collapsed="false">
      <c r="A9" s="12" t="s">
        <v>565</v>
      </c>
      <c r="B9" s="6" t="s">
        <v>566</v>
      </c>
      <c r="C9" s="6" t="s">
        <v>567</v>
      </c>
      <c r="D9" s="5" t="s">
        <v>555</v>
      </c>
      <c r="E9" s="14" t="s">
        <v>485</v>
      </c>
    </row>
    <row r="10" customFormat="false" ht="15" hidden="false" customHeight="false" outlineLevel="0" collapsed="false">
      <c r="A10" s="9" t="s">
        <v>568</v>
      </c>
      <c r="B10" s="8" t="s">
        <v>569</v>
      </c>
      <c r="C10" s="8" t="s">
        <v>570</v>
      </c>
      <c r="D10" s="7" t="s">
        <v>555</v>
      </c>
      <c r="E10" s="16" t="s">
        <v>485</v>
      </c>
    </row>
    <row r="11" customFormat="false" ht="15" hidden="false" customHeight="false" outlineLevel="0" collapsed="false">
      <c r="A11" s="12" t="s">
        <v>571</v>
      </c>
      <c r="B11" s="6" t="s">
        <v>572</v>
      </c>
      <c r="C11" s="6" t="s">
        <v>573</v>
      </c>
      <c r="D11" s="5" t="s">
        <v>574</v>
      </c>
      <c r="E11" s="14" t="s">
        <v>485</v>
      </c>
    </row>
    <row r="12" customFormat="false" ht="23.85" hidden="false" customHeight="false" outlineLevel="0" collapsed="false">
      <c r="A12" s="9" t="s">
        <v>575</v>
      </c>
      <c r="B12" s="8" t="s">
        <v>576</v>
      </c>
      <c r="C12" s="8" t="s">
        <v>577</v>
      </c>
      <c r="D12" s="7" t="s">
        <v>574</v>
      </c>
      <c r="E12" s="16" t="s">
        <v>485</v>
      </c>
    </row>
    <row r="13" customFormat="false" ht="15" hidden="false" customHeight="false" outlineLevel="0" collapsed="false">
      <c r="A13" s="12" t="s">
        <v>578</v>
      </c>
      <c r="B13" s="6" t="s">
        <v>579</v>
      </c>
      <c r="C13" s="6" t="s">
        <v>580</v>
      </c>
      <c r="D13" s="5" t="s">
        <v>581</v>
      </c>
      <c r="E13" s="14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26"/>
    <col collapsed="false" customWidth="true" hidden="false" outlineLevel="0" max="14" min="14" style="0" width="7"/>
    <col collapsed="false" customWidth="true" hidden="false" outlineLevel="0" max="15" min="15" style="0" width="8"/>
  </cols>
  <sheetData>
    <row r="1" customFormat="false" ht="17.35" hidden="false" customHeight="false" outlineLevel="0" collapsed="false">
      <c r="A1" s="1" t="s">
        <v>582</v>
      </c>
    </row>
    <row r="2" customFormat="false" ht="15" hidden="false" customHeight="false" outlineLevel="0" collapsed="false">
      <c r="A2" s="2" t="s">
        <v>583</v>
      </c>
    </row>
    <row r="4" customFormat="false" ht="23.85" hidden="false" customHeight="false" outlineLevel="0" collapsed="false">
      <c r="A4" s="4" t="s">
        <v>522</v>
      </c>
      <c r="B4" s="4" t="s">
        <v>584</v>
      </c>
      <c r="C4" s="4" t="s">
        <v>416</v>
      </c>
      <c r="D4" s="4" t="s">
        <v>585</v>
      </c>
      <c r="E4" s="4" t="s">
        <v>586</v>
      </c>
      <c r="F4" s="4" t="s">
        <v>587</v>
      </c>
      <c r="G4" s="4" t="s">
        <v>588</v>
      </c>
      <c r="H4" s="4" t="s">
        <v>589</v>
      </c>
      <c r="I4" s="4" t="s">
        <v>590</v>
      </c>
      <c r="J4" s="4" t="s">
        <v>591</v>
      </c>
      <c r="K4" s="4" t="s">
        <v>592</v>
      </c>
      <c r="L4" s="4" t="s">
        <v>593</v>
      </c>
      <c r="M4" s="4" t="s">
        <v>46</v>
      </c>
      <c r="N4" s="4" t="s">
        <v>486</v>
      </c>
      <c r="O4" s="4" t="s">
        <v>50</v>
      </c>
    </row>
    <row r="5" customFormat="false" ht="15" hidden="false" customHeight="false" outlineLevel="0" collapsed="false">
      <c r="A5" s="12" t="s">
        <v>594</v>
      </c>
      <c r="B5" s="6" t="s">
        <v>595</v>
      </c>
      <c r="C5" s="5" t="s">
        <v>422</v>
      </c>
      <c r="D5" s="21" t="n">
        <v>16.71</v>
      </c>
      <c r="E5" s="26" t="n">
        <v>16.67</v>
      </c>
      <c r="F5" s="35" t="n">
        <v>0.994</v>
      </c>
      <c r="G5" s="36" t="n">
        <v>0.98</v>
      </c>
      <c r="H5" s="21" t="n">
        <v>19.77</v>
      </c>
      <c r="I5" s="26" t="n">
        <v>20.71</v>
      </c>
      <c r="J5" s="35" t="n">
        <v>0.8504</v>
      </c>
      <c r="K5" s="36" t="n">
        <v>0.8211</v>
      </c>
      <c r="L5" s="28" t="n">
        <f aca="false">ABS(E5-D5)/D5</f>
        <v>0.00239377618192694</v>
      </c>
      <c r="M5" s="5" t="s">
        <v>278</v>
      </c>
      <c r="N5" s="13" t="str">
        <f aca="false">HYPERLINK("https://doi.org/"&amp;M5,"open")</f>
        <v>open</v>
      </c>
      <c r="O5" s="14" t="s">
        <v>57</v>
      </c>
    </row>
    <row r="6" customFormat="false" ht="15" hidden="false" customHeight="false" outlineLevel="0" collapsed="false">
      <c r="A6" s="9" t="s">
        <v>596</v>
      </c>
      <c r="B6" s="8" t="s">
        <v>597</v>
      </c>
      <c r="C6" s="7" t="s">
        <v>422</v>
      </c>
      <c r="D6" s="22" t="n">
        <v>17.9</v>
      </c>
      <c r="E6" s="31" t="n">
        <v>17.85</v>
      </c>
      <c r="F6" s="37" t="n">
        <v>0.997</v>
      </c>
      <c r="G6" s="38" t="n">
        <v>1.105</v>
      </c>
      <c r="H6" s="22" t="n">
        <v>21.07</v>
      </c>
      <c r="I6" s="31" t="n">
        <v>20.61</v>
      </c>
      <c r="J6" s="37" t="n">
        <v>0.8521</v>
      </c>
      <c r="K6" s="38" t="n">
        <v>0.784</v>
      </c>
      <c r="L6" s="33" t="n">
        <f aca="false">ABS(E6-D6)/D6</f>
        <v>0.00279329608938532</v>
      </c>
      <c r="M6" s="7" t="s">
        <v>278</v>
      </c>
      <c r="N6" s="15" t="str">
        <f aca="false">HYPERLINK("https://doi.org/"&amp;M6,"open")</f>
        <v>open</v>
      </c>
      <c r="O6" s="16" t="s">
        <v>57</v>
      </c>
    </row>
    <row r="7" customFormat="false" ht="15" hidden="false" customHeight="false" outlineLevel="0" collapsed="false">
      <c r="A7" s="12" t="s">
        <v>598</v>
      </c>
      <c r="B7" s="6" t="s">
        <v>599</v>
      </c>
      <c r="C7" s="5" t="s">
        <v>422</v>
      </c>
      <c r="D7" s="21" t="n">
        <v>17.86</v>
      </c>
      <c r="E7" s="26" t="n">
        <v>17.86</v>
      </c>
      <c r="F7" s="35" t="n">
        <v>0.997</v>
      </c>
      <c r="G7" s="36" t="n">
        <v>1.163</v>
      </c>
      <c r="H7" s="21" t="n">
        <v>21.07</v>
      </c>
      <c r="I7" s="26" t="n">
        <v>20.67</v>
      </c>
      <c r="J7" s="35" t="n">
        <v>0.8503</v>
      </c>
      <c r="K7" s="36" t="n">
        <v>0.7429</v>
      </c>
      <c r="L7" s="28" t="n">
        <f aca="false">ABS(E7-D7)/D7</f>
        <v>0</v>
      </c>
      <c r="M7" s="5" t="s">
        <v>278</v>
      </c>
      <c r="N7" s="13" t="str">
        <f aca="false">HYPERLINK("https://doi.org/"&amp;M7,"open")</f>
        <v>open</v>
      </c>
      <c r="O7" s="14" t="s">
        <v>57</v>
      </c>
    </row>
    <row r="8" customFormat="false" ht="15" hidden="false" customHeight="false" outlineLevel="0" collapsed="false">
      <c r="A8" s="9" t="s">
        <v>600</v>
      </c>
      <c r="B8" s="8" t="s">
        <v>601</v>
      </c>
      <c r="C8" s="7" t="s">
        <v>422</v>
      </c>
      <c r="D8" s="22" t="n">
        <v>14.47</v>
      </c>
      <c r="E8" s="31" t="n">
        <v>14.32</v>
      </c>
      <c r="F8" s="37" t="n">
        <v>0.989</v>
      </c>
      <c r="G8" s="38" t="n">
        <v>0.98</v>
      </c>
      <c r="H8" s="22" t="n">
        <v>17.25</v>
      </c>
      <c r="I8" s="31" t="n">
        <v>20.36</v>
      </c>
      <c r="J8" s="37" t="n">
        <v>0.848</v>
      </c>
      <c r="K8" s="38" t="n">
        <v>0.7172</v>
      </c>
      <c r="L8" s="33" t="n">
        <f aca="false">ABS(E8-D8)/D8</f>
        <v>0.0103662750518314</v>
      </c>
      <c r="M8" s="7" t="s">
        <v>278</v>
      </c>
      <c r="N8" s="15" t="str">
        <f aca="false">HYPERLINK("https://doi.org/"&amp;M8,"open")</f>
        <v>open</v>
      </c>
      <c r="O8" s="16" t="s">
        <v>57</v>
      </c>
    </row>
    <row r="9" customFormat="false" ht="15" hidden="false" customHeight="false" outlineLevel="0" collapsed="false">
      <c r="A9" s="12" t="s">
        <v>602</v>
      </c>
      <c r="B9" s="6" t="s">
        <v>603</v>
      </c>
      <c r="C9" s="5" t="s">
        <v>422</v>
      </c>
      <c r="D9" s="21" t="n">
        <v>17.76</v>
      </c>
      <c r="E9" s="26" t="n">
        <v>17.77</v>
      </c>
      <c r="F9" s="35" t="n">
        <v>0.995</v>
      </c>
      <c r="G9" s="36" t="n">
        <v>1.115</v>
      </c>
      <c r="H9" s="21" t="n">
        <v>20.98</v>
      </c>
      <c r="I9" s="26" t="n">
        <v>20.64</v>
      </c>
      <c r="J9" s="35" t="n">
        <v>0.8513</v>
      </c>
      <c r="K9" s="36" t="n">
        <v>0.7722</v>
      </c>
      <c r="L9" s="28" t="n">
        <f aca="false">ABS(E9-D9)/D9</f>
        <v>0.000563063063062951</v>
      </c>
      <c r="M9" s="5" t="s">
        <v>278</v>
      </c>
      <c r="N9" s="13" t="str">
        <f aca="false">HYPERLINK("https://doi.org/"&amp;M9,"open")</f>
        <v>open</v>
      </c>
      <c r="O9" s="14" t="s">
        <v>57</v>
      </c>
    </row>
    <row r="10" customFormat="false" ht="15" hidden="false" customHeight="false" outlineLevel="0" collapsed="false">
      <c r="A10" s="9" t="s">
        <v>604</v>
      </c>
      <c r="B10" s="8" t="s">
        <v>605</v>
      </c>
      <c r="C10" s="7" t="s">
        <v>422</v>
      </c>
      <c r="D10" s="22" t="n">
        <v>17.82</v>
      </c>
      <c r="E10" s="31" t="n">
        <v>18.05</v>
      </c>
      <c r="F10" s="37" t="n">
        <v>0.997</v>
      </c>
      <c r="G10" s="38" t="n">
        <v>1.118</v>
      </c>
      <c r="H10" s="22" t="n">
        <v>20.98</v>
      </c>
      <c r="I10" s="31" t="n">
        <v>20.6</v>
      </c>
      <c r="J10" s="37" t="n">
        <v>0.8522</v>
      </c>
      <c r="K10" s="38" t="n">
        <v>0.784</v>
      </c>
      <c r="L10" s="33" t="n">
        <f aca="false">ABS(E10-D10)/D10</f>
        <v>0.0129068462401796</v>
      </c>
      <c r="M10" s="7" t="s">
        <v>278</v>
      </c>
      <c r="N10" s="15" t="str">
        <f aca="false">HYPERLINK("https://doi.org/"&amp;M10,"open")</f>
        <v>open</v>
      </c>
      <c r="O10" s="16" t="s">
        <v>57</v>
      </c>
    </row>
    <row r="11" customFormat="false" ht="15" hidden="false" customHeight="false" outlineLevel="0" collapsed="false">
      <c r="A11" s="12" t="s">
        <v>606</v>
      </c>
      <c r="B11" s="6" t="s">
        <v>607</v>
      </c>
      <c r="C11" s="5" t="s">
        <v>424</v>
      </c>
      <c r="D11" s="21" t="n">
        <v>14.65</v>
      </c>
      <c r="E11" s="26" t="n">
        <v>14.75</v>
      </c>
      <c r="F11" s="35" t="n">
        <v>0.873</v>
      </c>
      <c r="G11" s="36" t="n">
        <v>0.999</v>
      </c>
      <c r="H11" s="21" t="n">
        <v>22.8</v>
      </c>
      <c r="I11" s="26" t="n">
        <v>22.62</v>
      </c>
      <c r="J11" s="35" t="n">
        <v>0.736</v>
      </c>
      <c r="K11" s="36" t="n">
        <v>0.6524</v>
      </c>
      <c r="L11" s="28" t="n">
        <f aca="false">ABS(E11-D11)/D11</f>
        <v>0.00682593856655288</v>
      </c>
      <c r="M11" s="5" t="s">
        <v>281</v>
      </c>
      <c r="N11" s="13" t="str">
        <f aca="false">HYPERLINK("https://doi.org/"&amp;M11,"open")</f>
        <v>open</v>
      </c>
      <c r="O11" s="14" t="s">
        <v>57</v>
      </c>
    </row>
    <row r="12" customFormat="false" ht="15" hidden="false" customHeight="false" outlineLevel="0" collapsed="false">
      <c r="A12" s="9" t="s">
        <v>608</v>
      </c>
      <c r="B12" s="8" t="s">
        <v>609</v>
      </c>
      <c r="C12" s="7" t="s">
        <v>422</v>
      </c>
      <c r="D12" s="22" t="n">
        <v>17.64</v>
      </c>
      <c r="E12" s="31" t="n">
        <v>18</v>
      </c>
      <c r="F12" s="37" t="n">
        <v>1</v>
      </c>
      <c r="G12" s="38" t="n">
        <v>1.145</v>
      </c>
      <c r="H12" s="22" t="n">
        <v>21.05</v>
      </c>
      <c r="I12" s="31" t="n">
        <v>20.7</v>
      </c>
      <c r="J12" s="37" t="n">
        <v>0.8402</v>
      </c>
      <c r="K12" s="38" t="n">
        <v>0.7597</v>
      </c>
      <c r="L12" s="33" t="n">
        <f aca="false">ABS(E12-D12)/D12</f>
        <v>0.0204081632653061</v>
      </c>
      <c r="M12" s="7" t="s">
        <v>278</v>
      </c>
      <c r="N12" s="15" t="str">
        <f aca="false">HYPERLINK("https://doi.org/"&amp;M12,"open")</f>
        <v>open</v>
      </c>
      <c r="O12" s="16" t="s">
        <v>57</v>
      </c>
    </row>
    <row r="13" customFormat="false" ht="15" hidden="false" customHeight="false" outlineLevel="0" collapsed="false">
      <c r="A13" s="12" t="s">
        <v>610</v>
      </c>
      <c r="B13" s="6" t="s">
        <v>611</v>
      </c>
      <c r="C13" s="5" t="s">
        <v>422</v>
      </c>
      <c r="D13" s="21" t="n">
        <v>17.81</v>
      </c>
      <c r="E13" s="26" t="n">
        <v>17.84</v>
      </c>
      <c r="F13" s="35" t="n">
        <v>0.99</v>
      </c>
      <c r="G13" s="36" t="n">
        <v>1.172</v>
      </c>
      <c r="H13" s="21" t="n">
        <v>21.05</v>
      </c>
      <c r="I13" s="26" t="n">
        <v>20.68</v>
      </c>
      <c r="J13" s="35" t="n">
        <v>0.8529</v>
      </c>
      <c r="K13" s="36" t="n">
        <v>0.7357</v>
      </c>
      <c r="L13" s="28" t="n">
        <f aca="false">ABS(E13-D13)/D13</f>
        <v>0.00168444693992146</v>
      </c>
      <c r="M13" s="5" t="s">
        <v>278</v>
      </c>
      <c r="N13" s="13" t="str">
        <f aca="false">HYPERLINK("https://doi.org/"&amp;M13,"open")</f>
        <v>open</v>
      </c>
      <c r="O13" s="14" t="s">
        <v>57</v>
      </c>
    </row>
    <row r="14" customFormat="false" ht="15" hidden="false" customHeight="false" outlineLevel="0" collapsed="false">
      <c r="A14" s="9" t="s">
        <v>612</v>
      </c>
      <c r="B14" s="8" t="s">
        <v>613</v>
      </c>
      <c r="C14" s="7" t="s">
        <v>422</v>
      </c>
      <c r="D14" s="22" t="n">
        <v>17.18</v>
      </c>
      <c r="E14" s="31" t="n">
        <v>17.02</v>
      </c>
      <c r="F14" s="37" t="n">
        <v>0.99</v>
      </c>
      <c r="G14" s="38" t="n">
        <v>1.2</v>
      </c>
      <c r="H14" s="22" t="n">
        <v>21.05</v>
      </c>
      <c r="I14" s="31" t="n">
        <v>20.87</v>
      </c>
      <c r="J14" s="37" t="n">
        <v>0.821</v>
      </c>
      <c r="K14" s="38" t="n">
        <v>0.6797</v>
      </c>
      <c r="L14" s="33" t="n">
        <f aca="false">ABS(E14-D14)/D14</f>
        <v>0.00931315483119908</v>
      </c>
      <c r="M14" s="7" t="s">
        <v>278</v>
      </c>
      <c r="N14" s="15" t="str">
        <f aca="false">HYPERLINK("https://doi.org/"&amp;M14,"open")</f>
        <v>open</v>
      </c>
      <c r="O14" s="16" t="s">
        <v>57</v>
      </c>
    </row>
    <row r="16" customFormat="false" ht="15" hidden="false" customHeight="false" outlineLevel="0" collapsed="false">
      <c r="A16" s="12" t="s">
        <v>543</v>
      </c>
      <c r="K16" s="5" t="s">
        <v>614</v>
      </c>
      <c r="L16" s="10" t="n">
        <f aca="false">AVERAGE(L5:L14)</f>
        <v>0.00672549602293657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74"/>
    <col collapsed="false" customWidth="true" hidden="false" outlineLevel="0" max="4" min="4" style="0" width="7"/>
  </cols>
  <sheetData>
    <row r="1" customFormat="false" ht="17.35" hidden="false" customHeight="false" outlineLevel="0" collapsed="false">
      <c r="A1" s="1" t="s">
        <v>615</v>
      </c>
    </row>
    <row r="2" customFormat="false" ht="15" hidden="false" customHeight="false" outlineLevel="0" collapsed="false">
      <c r="A2" s="2" t="s">
        <v>616</v>
      </c>
    </row>
    <row r="4" customFormat="false" ht="23.85" hidden="false" customHeight="false" outlineLevel="0" collapsed="false">
      <c r="A4" s="4" t="s">
        <v>617</v>
      </c>
      <c r="B4" s="4" t="s">
        <v>618</v>
      </c>
      <c r="C4" s="4" t="s">
        <v>619</v>
      </c>
      <c r="D4" s="4" t="s">
        <v>485</v>
      </c>
    </row>
    <row r="5" customFormat="false" ht="15" hidden="false" customHeight="false" outlineLevel="0" collapsed="false">
      <c r="A5" s="12" t="s">
        <v>620</v>
      </c>
      <c r="B5" s="6" t="s">
        <v>621</v>
      </c>
      <c r="C5" s="6" t="s">
        <v>622</v>
      </c>
      <c r="D5" s="14" t="s">
        <v>485</v>
      </c>
    </row>
    <row r="6" customFormat="false" ht="23.85" hidden="false" customHeight="false" outlineLevel="0" collapsed="false">
      <c r="A6" s="9" t="s">
        <v>623</v>
      </c>
      <c r="B6" s="8" t="s">
        <v>624</v>
      </c>
      <c r="C6" s="8" t="s">
        <v>625</v>
      </c>
      <c r="D6" s="16" t="s">
        <v>485</v>
      </c>
    </row>
    <row r="7" customFormat="false" ht="15" hidden="false" customHeight="false" outlineLevel="0" collapsed="false">
      <c r="A7" s="12" t="s">
        <v>626</v>
      </c>
      <c r="B7" s="6" t="s">
        <v>627</v>
      </c>
      <c r="C7" s="6" t="s">
        <v>628</v>
      </c>
      <c r="D7" s="14" t="s">
        <v>485</v>
      </c>
    </row>
    <row r="8" customFormat="false" ht="15" hidden="false" customHeight="false" outlineLevel="0" collapsed="false">
      <c r="A8" s="9" t="s">
        <v>629</v>
      </c>
      <c r="B8" s="8" t="s">
        <v>630</v>
      </c>
      <c r="C8" s="8" t="s">
        <v>631</v>
      </c>
      <c r="D8" s="16" t="s">
        <v>485</v>
      </c>
    </row>
    <row r="9" customFormat="false" ht="15" hidden="false" customHeight="false" outlineLevel="0" collapsed="false">
      <c r="A9" s="12" t="s">
        <v>632</v>
      </c>
      <c r="B9" s="6" t="s">
        <v>633</v>
      </c>
      <c r="C9" s="6" t="s">
        <v>634</v>
      </c>
      <c r="D9" s="14" t="s">
        <v>485</v>
      </c>
    </row>
    <row r="10" customFormat="false" ht="15" hidden="false" customHeight="false" outlineLevel="0" collapsed="false">
      <c r="A10" s="9" t="s">
        <v>635</v>
      </c>
      <c r="B10" s="8" t="s">
        <v>636</v>
      </c>
      <c r="C10" s="8" t="s">
        <v>637</v>
      </c>
      <c r="D10" s="16" t="s">
        <v>485</v>
      </c>
    </row>
    <row r="11" customFormat="false" ht="15" hidden="false" customHeight="false" outlineLevel="0" collapsed="false">
      <c r="A11" s="12" t="s">
        <v>638</v>
      </c>
      <c r="B11" s="6" t="s">
        <v>639</v>
      </c>
      <c r="C11" s="6" t="s">
        <v>640</v>
      </c>
      <c r="D11" s="14" t="s">
        <v>485</v>
      </c>
    </row>
    <row r="12" customFormat="false" ht="15" hidden="false" customHeight="false" outlineLevel="0" collapsed="false">
      <c r="A12" s="9" t="s">
        <v>641</v>
      </c>
      <c r="B12" s="8" t="s">
        <v>642</v>
      </c>
      <c r="C12" s="8" t="s">
        <v>643</v>
      </c>
      <c r="D12" s="16" t="s">
        <v>485</v>
      </c>
    </row>
    <row r="13" customFormat="false" ht="15" hidden="false" customHeight="false" outlineLevel="0" collapsed="false">
      <c r="A13" s="12" t="s">
        <v>644</v>
      </c>
      <c r="B13" s="6" t="s">
        <v>645</v>
      </c>
      <c r="C13" s="6" t="s">
        <v>646</v>
      </c>
      <c r="D13" s="14" t="s">
        <v>485</v>
      </c>
    </row>
    <row r="14" customFormat="false" ht="15" hidden="false" customHeight="false" outlineLevel="0" collapsed="false">
      <c r="A14" s="9" t="s">
        <v>647</v>
      </c>
      <c r="B14" s="8" t="s">
        <v>648</v>
      </c>
      <c r="C14" s="8" t="s">
        <v>649</v>
      </c>
      <c r="D14" s="16" t="s">
        <v>485</v>
      </c>
    </row>
    <row r="15" customFormat="false" ht="15" hidden="false" customHeight="false" outlineLevel="0" collapsed="false">
      <c r="A15" s="12" t="s">
        <v>650</v>
      </c>
      <c r="B15" s="6" t="s">
        <v>651</v>
      </c>
      <c r="C15" s="6" t="s">
        <v>652</v>
      </c>
      <c r="D15" s="14" t="s">
        <v>485</v>
      </c>
    </row>
    <row r="16" customFormat="false" ht="15" hidden="false" customHeight="false" outlineLevel="0" collapsed="false">
      <c r="A16" s="9" t="s">
        <v>653</v>
      </c>
      <c r="B16" s="8" t="s">
        <v>654</v>
      </c>
      <c r="C16" s="8" t="s">
        <v>655</v>
      </c>
      <c r="D16" s="16" t="s">
        <v>485</v>
      </c>
    </row>
    <row r="17" customFormat="false" ht="15" hidden="false" customHeight="false" outlineLevel="0" collapsed="false">
      <c r="A17" s="12" t="s">
        <v>656</v>
      </c>
      <c r="B17" s="6" t="s">
        <v>657</v>
      </c>
      <c r="C17" s="6" t="s">
        <v>658</v>
      </c>
      <c r="D17" s="14" t="s">
        <v>485</v>
      </c>
    </row>
    <row r="18" customFormat="false" ht="15" hidden="false" customHeight="false" outlineLevel="0" collapsed="false">
      <c r="A18" s="9" t="s">
        <v>659</v>
      </c>
      <c r="B18" s="8" t="s">
        <v>660</v>
      </c>
      <c r="C18" s="8" t="s">
        <v>661</v>
      </c>
      <c r="D18" s="16" t="s">
        <v>485</v>
      </c>
    </row>
    <row r="19" customFormat="false" ht="15" hidden="false" customHeight="false" outlineLevel="0" collapsed="false">
      <c r="A19" s="12" t="s">
        <v>662</v>
      </c>
      <c r="B19" s="6" t="s">
        <v>663</v>
      </c>
      <c r="C19" s="6" t="s">
        <v>664</v>
      </c>
      <c r="D19" s="14" t="s">
        <v>485</v>
      </c>
    </row>
    <row r="20" customFormat="false" ht="15" hidden="false" customHeight="false" outlineLevel="0" collapsed="false">
      <c r="A20" s="9" t="s">
        <v>665</v>
      </c>
      <c r="B20" s="8" t="s">
        <v>666</v>
      </c>
      <c r="C20" s="8" t="s">
        <v>667</v>
      </c>
      <c r="D20" s="16" t="s">
        <v>485</v>
      </c>
    </row>
    <row r="21" customFormat="false" ht="15" hidden="false" customHeight="false" outlineLevel="0" collapsed="false">
      <c r="A21" s="12" t="s">
        <v>668</v>
      </c>
      <c r="B21" s="6" t="s">
        <v>669</v>
      </c>
      <c r="C21" s="6" t="s">
        <v>670</v>
      </c>
      <c r="D21" s="14" t="s">
        <v>485</v>
      </c>
    </row>
    <row r="22" customFormat="false" ht="15" hidden="false" customHeight="false" outlineLevel="0" collapsed="false">
      <c r="A22" s="9" t="s">
        <v>671</v>
      </c>
      <c r="B22" s="8" t="s">
        <v>672</v>
      </c>
      <c r="C22" s="8" t="s">
        <v>673</v>
      </c>
      <c r="D22" s="16" t="s">
        <v>485</v>
      </c>
    </row>
    <row r="23" customFormat="false" ht="15" hidden="false" customHeight="false" outlineLevel="0" collapsed="false">
      <c r="A23" s="12" t="s">
        <v>674</v>
      </c>
      <c r="B23" s="6" t="s">
        <v>675</v>
      </c>
      <c r="C23" s="6" t="s">
        <v>676</v>
      </c>
      <c r="D23" s="14" t="s">
        <v>485</v>
      </c>
    </row>
    <row r="24" customFormat="false" ht="15" hidden="false" customHeight="false" outlineLevel="0" collapsed="false">
      <c r="A24" s="9" t="s">
        <v>677</v>
      </c>
      <c r="B24" s="8" t="s">
        <v>678</v>
      </c>
      <c r="C24" s="8" t="s">
        <v>679</v>
      </c>
      <c r="D24" s="16" t="s">
        <v>485</v>
      </c>
    </row>
    <row r="25" customFormat="false" ht="15" hidden="false" customHeight="false" outlineLevel="0" collapsed="false">
      <c r="A25" s="12" t="s">
        <v>680</v>
      </c>
      <c r="B25" s="6" t="s">
        <v>681</v>
      </c>
      <c r="C25" s="6" t="s">
        <v>682</v>
      </c>
      <c r="D25" s="14" t="s">
        <v>485</v>
      </c>
    </row>
    <row r="26" customFormat="false" ht="23.85" hidden="false" customHeight="false" outlineLevel="0" collapsed="false">
      <c r="A26" s="9" t="s">
        <v>683</v>
      </c>
      <c r="B26" s="8" t="s">
        <v>684</v>
      </c>
      <c r="C26" s="8" t="s">
        <v>685</v>
      </c>
      <c r="D26" s="16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686</v>
      </c>
    </row>
    <row r="2" customFormat="false" ht="15" hidden="false" customHeight="false" outlineLevel="0" collapsed="false">
      <c r="A2" s="2" t="s">
        <v>687</v>
      </c>
    </row>
    <row r="4" customFormat="false" ht="15" hidden="false" customHeight="false" outlineLevel="0" collapsed="false">
      <c r="A4" s="4" t="s">
        <v>404</v>
      </c>
      <c r="B4" s="4" t="s">
        <v>688</v>
      </c>
      <c r="C4" s="4" t="s">
        <v>439</v>
      </c>
      <c r="D4" s="4" t="s">
        <v>689</v>
      </c>
      <c r="E4" s="4" t="s">
        <v>358</v>
      </c>
    </row>
    <row r="5" customFormat="false" ht="15" hidden="false" customHeight="false" outlineLevel="0" collapsed="false">
      <c r="A5" s="12" t="s">
        <v>690</v>
      </c>
      <c r="B5" s="39" t="n">
        <v>300</v>
      </c>
      <c r="C5" s="35" t="n">
        <v>1.52</v>
      </c>
      <c r="D5" s="40" t="n">
        <v>0</v>
      </c>
      <c r="E5" s="6" t="s">
        <v>691</v>
      </c>
    </row>
    <row r="6" customFormat="false" ht="15" hidden="false" customHeight="false" outlineLevel="0" collapsed="false">
      <c r="A6" s="7"/>
      <c r="B6" s="41" t="n">
        <v>1200</v>
      </c>
      <c r="C6" s="37" t="n">
        <v>1.52</v>
      </c>
      <c r="D6" s="42" t="n">
        <v>0</v>
      </c>
      <c r="E6" s="8"/>
    </row>
    <row r="7" customFormat="false" ht="15" hidden="false" customHeight="false" outlineLevel="0" collapsed="false">
      <c r="A7" s="12" t="s">
        <v>692</v>
      </c>
      <c r="B7" s="39" t="n">
        <v>350</v>
      </c>
      <c r="C7" s="35" t="n">
        <v>2.1</v>
      </c>
      <c r="D7" s="40" t="n">
        <v>0.06</v>
      </c>
      <c r="E7" s="6" t="s">
        <v>693</v>
      </c>
    </row>
    <row r="8" customFormat="false" ht="15" hidden="false" customHeight="false" outlineLevel="0" collapsed="false">
      <c r="A8" s="7"/>
      <c r="B8" s="41" t="n">
        <v>400</v>
      </c>
      <c r="C8" s="37" t="n">
        <v>2.05</v>
      </c>
      <c r="D8" s="42" t="n">
        <v>0.03</v>
      </c>
      <c r="E8" s="8"/>
    </row>
    <row r="9" customFormat="false" ht="15" hidden="false" customHeight="false" outlineLevel="0" collapsed="false">
      <c r="A9" s="5"/>
      <c r="B9" s="39" t="n">
        <v>500</v>
      </c>
      <c r="C9" s="35" t="n">
        <v>1.95</v>
      </c>
      <c r="D9" s="40" t="n">
        <v>0.01</v>
      </c>
      <c r="E9" s="6"/>
    </row>
    <row r="10" customFormat="false" ht="15" hidden="false" customHeight="false" outlineLevel="0" collapsed="false">
      <c r="A10" s="7"/>
      <c r="B10" s="41" t="n">
        <v>600</v>
      </c>
      <c r="C10" s="37" t="n">
        <v>1.85</v>
      </c>
      <c r="D10" s="42" t="n">
        <v>0.008</v>
      </c>
      <c r="E10" s="8"/>
    </row>
    <row r="11" customFormat="false" ht="15" hidden="false" customHeight="false" outlineLevel="0" collapsed="false">
      <c r="A11" s="5"/>
      <c r="B11" s="39" t="n">
        <v>700</v>
      </c>
      <c r="C11" s="35" t="n">
        <v>1.78</v>
      </c>
      <c r="D11" s="40" t="n">
        <v>0.01</v>
      </c>
      <c r="E11" s="6"/>
    </row>
    <row r="12" customFormat="false" ht="15" hidden="false" customHeight="false" outlineLevel="0" collapsed="false">
      <c r="A12" s="7"/>
      <c r="B12" s="41" t="n">
        <v>800</v>
      </c>
      <c r="C12" s="37" t="n">
        <v>1.72</v>
      </c>
      <c r="D12" s="42" t="n">
        <v>0.02</v>
      </c>
      <c r="E12" s="8"/>
    </row>
    <row r="13" customFormat="false" ht="15" hidden="false" customHeight="false" outlineLevel="0" collapsed="false">
      <c r="A13" s="5"/>
      <c r="B13" s="39" t="n">
        <v>900</v>
      </c>
      <c r="C13" s="35" t="n">
        <v>1.65</v>
      </c>
      <c r="D13" s="40" t="n">
        <v>0.03</v>
      </c>
      <c r="E13" s="6"/>
    </row>
    <row r="14" customFormat="false" ht="15" hidden="false" customHeight="false" outlineLevel="0" collapsed="false">
      <c r="A14" s="7"/>
      <c r="B14" s="41" t="n">
        <v>1000</v>
      </c>
      <c r="C14" s="37" t="n">
        <v>1.6</v>
      </c>
      <c r="D14" s="42" t="n">
        <v>0.05</v>
      </c>
      <c r="E14" s="8"/>
    </row>
    <row r="15" customFormat="false" ht="15" hidden="false" customHeight="false" outlineLevel="0" collapsed="false">
      <c r="A15" s="5"/>
      <c r="B15" s="39" t="n">
        <v>1100</v>
      </c>
      <c r="C15" s="35" t="n">
        <v>1.55</v>
      </c>
      <c r="D15" s="40" t="n">
        <v>0.07</v>
      </c>
      <c r="E15" s="6"/>
    </row>
    <row r="16" customFormat="false" ht="15" hidden="false" customHeight="false" outlineLevel="0" collapsed="false">
      <c r="A16" s="9" t="s">
        <v>458</v>
      </c>
      <c r="B16" s="41" t="n">
        <v>350</v>
      </c>
      <c r="C16" s="37" t="n">
        <v>1.58</v>
      </c>
      <c r="D16" s="42" t="n">
        <v>0.012</v>
      </c>
      <c r="E16" s="8" t="s">
        <v>694</v>
      </c>
    </row>
    <row r="17" customFormat="false" ht="15" hidden="false" customHeight="false" outlineLevel="0" collapsed="false">
      <c r="A17" s="5"/>
      <c r="B17" s="39" t="n">
        <v>500</v>
      </c>
      <c r="C17" s="35" t="n">
        <v>1.52</v>
      </c>
      <c r="D17" s="40" t="n">
        <v>0.008</v>
      </c>
      <c r="E17" s="6"/>
    </row>
    <row r="18" customFormat="false" ht="15" hidden="false" customHeight="false" outlineLevel="0" collapsed="false">
      <c r="A18" s="7"/>
      <c r="B18" s="41" t="n">
        <v>700</v>
      </c>
      <c r="C18" s="37" t="n">
        <v>1.48</v>
      </c>
      <c r="D18" s="42" t="n">
        <v>0.015</v>
      </c>
      <c r="E18" s="8"/>
    </row>
    <row r="19" customFormat="false" ht="15" hidden="false" customHeight="false" outlineLevel="0" collapsed="false">
      <c r="A19" s="5"/>
      <c r="B19" s="39" t="n">
        <v>1000</v>
      </c>
      <c r="C19" s="35" t="n">
        <v>1.42</v>
      </c>
      <c r="D19" s="40" t="n">
        <v>0.04</v>
      </c>
      <c r="E19" s="6"/>
    </row>
    <row r="20" customFormat="false" ht="15" hidden="false" customHeight="false" outlineLevel="0" collapsed="false">
      <c r="A20" s="7"/>
      <c r="B20" s="41" t="n">
        <v>1100</v>
      </c>
      <c r="C20" s="37" t="n">
        <v>1.41</v>
      </c>
      <c r="D20" s="42" t="n">
        <v>0.05</v>
      </c>
      <c r="E20" s="8"/>
    </row>
    <row r="21" customFormat="false" ht="15" hidden="false" customHeight="false" outlineLevel="0" collapsed="false">
      <c r="A21" s="12" t="s">
        <v>441</v>
      </c>
      <c r="B21" s="39" t="n">
        <v>350</v>
      </c>
      <c r="C21" s="35" t="n">
        <v>2.15</v>
      </c>
      <c r="D21" s="40" t="n">
        <v>0.08</v>
      </c>
      <c r="E21" s="6" t="s">
        <v>695</v>
      </c>
    </row>
    <row r="22" customFormat="false" ht="15" hidden="false" customHeight="false" outlineLevel="0" collapsed="false">
      <c r="A22" s="7"/>
      <c r="B22" s="41" t="n">
        <v>380</v>
      </c>
      <c r="C22" s="37" t="n">
        <v>2.05</v>
      </c>
      <c r="D22" s="42" t="n">
        <v>0.02</v>
      </c>
      <c r="E22" s="8"/>
    </row>
    <row r="23" customFormat="false" ht="15" hidden="false" customHeight="false" outlineLevel="0" collapsed="false">
      <c r="A23" s="5"/>
      <c r="B23" s="39" t="n">
        <v>400</v>
      </c>
      <c r="C23" s="35" t="n">
        <v>1.95</v>
      </c>
      <c r="D23" s="40" t="n">
        <v>0.005</v>
      </c>
      <c r="E23" s="6"/>
    </row>
    <row r="24" customFormat="false" ht="15" hidden="false" customHeight="false" outlineLevel="0" collapsed="false">
      <c r="A24" s="7"/>
      <c r="B24" s="41" t="n">
        <v>500</v>
      </c>
      <c r="C24" s="37" t="n">
        <v>1.92</v>
      </c>
      <c r="D24" s="42" t="n">
        <v>0.001</v>
      </c>
      <c r="E24" s="8"/>
    </row>
    <row r="25" customFormat="false" ht="15" hidden="false" customHeight="false" outlineLevel="0" collapsed="false">
      <c r="A25" s="5"/>
      <c r="B25" s="39" t="n">
        <v>700</v>
      </c>
      <c r="C25" s="35" t="n">
        <v>1.88</v>
      </c>
      <c r="D25" s="40" t="n">
        <v>0.0005</v>
      </c>
      <c r="E25" s="6"/>
    </row>
    <row r="26" customFormat="false" ht="15" hidden="false" customHeight="false" outlineLevel="0" collapsed="false">
      <c r="A26" s="7"/>
      <c r="B26" s="41" t="n">
        <v>1100</v>
      </c>
      <c r="C26" s="37" t="n">
        <v>1.85</v>
      </c>
      <c r="D26" s="42" t="n">
        <v>0.0003</v>
      </c>
      <c r="E26" s="8"/>
    </row>
    <row r="27" customFormat="false" ht="15" hidden="false" customHeight="false" outlineLevel="0" collapsed="false">
      <c r="A27" s="12" t="s">
        <v>696</v>
      </c>
      <c r="B27" s="39" t="n">
        <v>350</v>
      </c>
      <c r="C27" s="35" t="n">
        <v>1.7</v>
      </c>
      <c r="D27" s="40" t="n">
        <v>0.08</v>
      </c>
      <c r="E27" s="6" t="s">
        <v>697</v>
      </c>
    </row>
    <row r="28" customFormat="false" ht="15" hidden="false" customHeight="false" outlineLevel="0" collapsed="false">
      <c r="A28" s="7"/>
      <c r="B28" s="41" t="n">
        <v>400</v>
      </c>
      <c r="C28" s="37" t="n">
        <v>1.72</v>
      </c>
      <c r="D28" s="42" t="n">
        <v>0.12</v>
      </c>
      <c r="E28" s="8"/>
    </row>
    <row r="29" customFormat="false" ht="15" hidden="false" customHeight="false" outlineLevel="0" collapsed="false">
      <c r="A29" s="5"/>
      <c r="B29" s="39" t="n">
        <v>450</v>
      </c>
      <c r="C29" s="35" t="n">
        <v>1.8</v>
      </c>
      <c r="D29" s="40" t="n">
        <v>0.22</v>
      </c>
      <c r="E29" s="6"/>
    </row>
    <row r="30" customFormat="false" ht="15" hidden="false" customHeight="false" outlineLevel="0" collapsed="false">
      <c r="A30" s="7"/>
      <c r="B30" s="41" t="n">
        <v>480</v>
      </c>
      <c r="C30" s="37" t="n">
        <v>1.9</v>
      </c>
      <c r="D30" s="42" t="n">
        <v>0.28</v>
      </c>
      <c r="E30" s="8"/>
    </row>
    <row r="31" customFormat="false" ht="15" hidden="false" customHeight="false" outlineLevel="0" collapsed="false">
      <c r="A31" s="5"/>
      <c r="B31" s="39" t="n">
        <v>500</v>
      </c>
      <c r="C31" s="35" t="n">
        <v>1.95</v>
      </c>
      <c r="D31" s="40" t="n">
        <v>0.31</v>
      </c>
      <c r="E31" s="6"/>
    </row>
    <row r="32" customFormat="false" ht="15" hidden="false" customHeight="false" outlineLevel="0" collapsed="false">
      <c r="A32" s="7"/>
      <c r="B32" s="41" t="n">
        <v>520</v>
      </c>
      <c r="C32" s="37" t="n">
        <v>2</v>
      </c>
      <c r="D32" s="42" t="n">
        <v>0.33</v>
      </c>
      <c r="E32" s="8"/>
    </row>
    <row r="33" customFormat="false" ht="15" hidden="false" customHeight="false" outlineLevel="0" collapsed="false">
      <c r="A33" s="5"/>
      <c r="B33" s="39" t="n">
        <v>550</v>
      </c>
      <c r="C33" s="35" t="n">
        <v>2.08</v>
      </c>
      <c r="D33" s="40" t="n">
        <v>0.3</v>
      </c>
      <c r="E33" s="6"/>
    </row>
    <row r="34" customFormat="false" ht="15" hidden="false" customHeight="false" outlineLevel="0" collapsed="false">
      <c r="A34" s="7"/>
      <c r="B34" s="41" t="n">
        <v>580</v>
      </c>
      <c r="C34" s="37" t="n">
        <v>2.12</v>
      </c>
      <c r="D34" s="42" t="n">
        <v>0.25</v>
      </c>
      <c r="E34" s="8"/>
    </row>
    <row r="35" customFormat="false" ht="15" hidden="false" customHeight="false" outlineLevel="0" collapsed="false">
      <c r="A35" s="5"/>
      <c r="B35" s="39" t="n">
        <v>600</v>
      </c>
      <c r="C35" s="35" t="n">
        <v>2.12</v>
      </c>
      <c r="D35" s="40" t="n">
        <v>0.17</v>
      </c>
      <c r="E35" s="6"/>
    </row>
    <row r="36" customFormat="false" ht="15" hidden="false" customHeight="false" outlineLevel="0" collapsed="false">
      <c r="A36" s="7"/>
      <c r="B36" s="41" t="n">
        <v>620</v>
      </c>
      <c r="C36" s="37" t="n">
        <v>2.05</v>
      </c>
      <c r="D36" s="42" t="n">
        <v>0.1</v>
      </c>
      <c r="E36" s="8"/>
    </row>
    <row r="37" customFormat="false" ht="15" hidden="false" customHeight="false" outlineLevel="0" collapsed="false">
      <c r="A37" s="5"/>
      <c r="B37" s="39" t="n">
        <v>650</v>
      </c>
      <c r="C37" s="35" t="n">
        <v>1.98</v>
      </c>
      <c r="D37" s="40" t="n">
        <v>0.035</v>
      </c>
      <c r="E37" s="6"/>
    </row>
    <row r="38" customFormat="false" ht="15" hidden="false" customHeight="false" outlineLevel="0" collapsed="false">
      <c r="A38" s="7"/>
      <c r="B38" s="41" t="n">
        <v>700</v>
      </c>
      <c r="C38" s="37" t="n">
        <v>1.9</v>
      </c>
      <c r="D38" s="42" t="n">
        <v>0.005</v>
      </c>
      <c r="E38" s="8"/>
    </row>
    <row r="39" customFormat="false" ht="15" hidden="false" customHeight="false" outlineLevel="0" collapsed="false">
      <c r="A39" s="5"/>
      <c r="B39" s="39" t="n">
        <v>800</v>
      </c>
      <c r="C39" s="35" t="n">
        <v>1.85</v>
      </c>
      <c r="D39" s="40" t="n">
        <v>0.001</v>
      </c>
      <c r="E39" s="6"/>
    </row>
    <row r="40" customFormat="false" ht="15" hidden="false" customHeight="false" outlineLevel="0" collapsed="false">
      <c r="A40" s="7"/>
      <c r="B40" s="41" t="n">
        <v>1000</v>
      </c>
      <c r="C40" s="37" t="n">
        <v>1.82</v>
      </c>
      <c r="D40" s="42" t="n">
        <v>0.0001</v>
      </c>
      <c r="E40" s="8"/>
    </row>
    <row r="41" customFormat="false" ht="15" hidden="false" customHeight="false" outlineLevel="0" collapsed="false">
      <c r="A41" s="5"/>
      <c r="B41" s="39" t="n">
        <v>1100</v>
      </c>
      <c r="C41" s="35" t="n">
        <v>1.82</v>
      </c>
      <c r="D41" s="40" t="n">
        <v>0.0001</v>
      </c>
      <c r="E41" s="6"/>
    </row>
    <row r="42" customFormat="false" ht="23.85" hidden="false" customHeight="false" outlineLevel="0" collapsed="false">
      <c r="A42" s="9" t="s">
        <v>698</v>
      </c>
      <c r="B42" s="41" t="n">
        <v>350</v>
      </c>
      <c r="C42" s="37" t="n">
        <v>1.65</v>
      </c>
      <c r="D42" s="42" t="n">
        <v>0.17</v>
      </c>
      <c r="E42" s="8" t="s">
        <v>699</v>
      </c>
    </row>
    <row r="43" customFormat="false" ht="15" hidden="false" customHeight="false" outlineLevel="0" collapsed="false">
      <c r="A43" s="5"/>
      <c r="B43" s="39" t="n">
        <v>400</v>
      </c>
      <c r="C43" s="35" t="n">
        <v>1.7</v>
      </c>
      <c r="D43" s="40" t="n">
        <v>0.2</v>
      </c>
      <c r="E43" s="6"/>
    </row>
    <row r="44" customFormat="false" ht="15" hidden="false" customHeight="false" outlineLevel="0" collapsed="false">
      <c r="A44" s="7"/>
      <c r="B44" s="41" t="n">
        <v>450</v>
      </c>
      <c r="C44" s="37" t="n">
        <v>1.75</v>
      </c>
      <c r="D44" s="42" t="n">
        <v>0.17</v>
      </c>
      <c r="E44" s="8"/>
    </row>
    <row r="45" customFormat="false" ht="15" hidden="false" customHeight="false" outlineLevel="0" collapsed="false">
      <c r="A45" s="5"/>
      <c r="B45" s="39" t="n">
        <v>500</v>
      </c>
      <c r="C45" s="35" t="n">
        <v>1.8</v>
      </c>
      <c r="D45" s="40" t="n">
        <v>0.23</v>
      </c>
      <c r="E45" s="6"/>
    </row>
    <row r="46" customFormat="false" ht="15" hidden="false" customHeight="false" outlineLevel="0" collapsed="false">
      <c r="A46" s="7"/>
      <c r="B46" s="41" t="n">
        <v>550</v>
      </c>
      <c r="C46" s="37" t="n">
        <v>1.95</v>
      </c>
      <c r="D46" s="42" t="n">
        <v>0.36</v>
      </c>
      <c r="E46" s="8"/>
    </row>
    <row r="47" customFormat="false" ht="15" hidden="false" customHeight="false" outlineLevel="0" collapsed="false">
      <c r="A47" s="5"/>
      <c r="B47" s="39" t="n">
        <v>580</v>
      </c>
      <c r="C47" s="35" t="n">
        <v>2.05</v>
      </c>
      <c r="D47" s="40" t="n">
        <v>0.43</v>
      </c>
      <c r="E47" s="6"/>
    </row>
    <row r="48" customFormat="false" ht="15" hidden="false" customHeight="false" outlineLevel="0" collapsed="false">
      <c r="A48" s="7"/>
      <c r="B48" s="41" t="n">
        <v>600</v>
      </c>
      <c r="C48" s="37" t="n">
        <v>2.1</v>
      </c>
      <c r="D48" s="42" t="n">
        <v>0.45</v>
      </c>
      <c r="E48" s="8"/>
    </row>
    <row r="49" customFormat="false" ht="15" hidden="false" customHeight="false" outlineLevel="0" collapsed="false">
      <c r="A49" s="5"/>
      <c r="B49" s="39" t="n">
        <v>620</v>
      </c>
      <c r="C49" s="35" t="n">
        <v>2.15</v>
      </c>
      <c r="D49" s="40" t="n">
        <v>0.43</v>
      </c>
      <c r="E49" s="6"/>
    </row>
    <row r="50" customFormat="false" ht="15" hidden="false" customHeight="false" outlineLevel="0" collapsed="false">
      <c r="A50" s="7"/>
      <c r="B50" s="41" t="n">
        <v>650</v>
      </c>
      <c r="C50" s="37" t="n">
        <v>2.05</v>
      </c>
      <c r="D50" s="42" t="n">
        <v>0.34</v>
      </c>
      <c r="E50" s="8"/>
    </row>
    <row r="51" customFormat="false" ht="15" hidden="false" customHeight="false" outlineLevel="0" collapsed="false">
      <c r="A51" s="5"/>
      <c r="B51" s="39" t="n">
        <v>700</v>
      </c>
      <c r="C51" s="35" t="n">
        <v>1.95</v>
      </c>
      <c r="D51" s="40" t="n">
        <v>0.4</v>
      </c>
      <c r="E51" s="6"/>
    </row>
    <row r="52" customFormat="false" ht="15" hidden="false" customHeight="false" outlineLevel="0" collapsed="false">
      <c r="A52" s="7"/>
      <c r="B52" s="41" t="n">
        <v>750</v>
      </c>
      <c r="C52" s="37" t="n">
        <v>2</v>
      </c>
      <c r="D52" s="42" t="n">
        <v>0.55</v>
      </c>
      <c r="E52" s="8"/>
    </row>
    <row r="53" customFormat="false" ht="15" hidden="false" customHeight="false" outlineLevel="0" collapsed="false">
      <c r="A53" s="5"/>
      <c r="B53" s="39" t="n">
        <v>800</v>
      </c>
      <c r="C53" s="35" t="n">
        <v>2.1</v>
      </c>
      <c r="D53" s="40" t="n">
        <v>0.65</v>
      </c>
      <c r="E53" s="6"/>
    </row>
    <row r="54" customFormat="false" ht="15" hidden="false" customHeight="false" outlineLevel="0" collapsed="false">
      <c r="A54" s="7"/>
      <c r="B54" s="41" t="n">
        <v>820</v>
      </c>
      <c r="C54" s="37" t="n">
        <v>2.15</v>
      </c>
      <c r="D54" s="42" t="n">
        <v>0.68</v>
      </c>
      <c r="E54" s="8"/>
    </row>
    <row r="55" customFormat="false" ht="15" hidden="false" customHeight="false" outlineLevel="0" collapsed="false">
      <c r="A55" s="5"/>
      <c r="B55" s="39" t="n">
        <v>850</v>
      </c>
      <c r="C55" s="35" t="n">
        <v>2.2</v>
      </c>
      <c r="D55" s="40" t="n">
        <v>0.57</v>
      </c>
      <c r="E55" s="6"/>
    </row>
    <row r="56" customFormat="false" ht="15" hidden="false" customHeight="false" outlineLevel="0" collapsed="false">
      <c r="A56" s="7"/>
      <c r="B56" s="41" t="n">
        <v>880</v>
      </c>
      <c r="C56" s="37" t="n">
        <v>2.1</v>
      </c>
      <c r="D56" s="42" t="n">
        <v>0.34</v>
      </c>
      <c r="E56" s="8"/>
    </row>
    <row r="57" customFormat="false" ht="15" hidden="false" customHeight="false" outlineLevel="0" collapsed="false">
      <c r="A57" s="5"/>
      <c r="B57" s="39" t="n">
        <v>900</v>
      </c>
      <c r="C57" s="35" t="n">
        <v>2</v>
      </c>
      <c r="D57" s="40" t="n">
        <v>0.17</v>
      </c>
      <c r="E57" s="6"/>
    </row>
    <row r="58" customFormat="false" ht="15" hidden="false" customHeight="false" outlineLevel="0" collapsed="false">
      <c r="A58" s="7"/>
      <c r="B58" s="41" t="n">
        <v>950</v>
      </c>
      <c r="C58" s="37" t="n">
        <v>1.9</v>
      </c>
      <c r="D58" s="42" t="n">
        <v>0.035</v>
      </c>
      <c r="E58" s="8"/>
    </row>
    <row r="59" customFormat="false" ht="15" hidden="false" customHeight="false" outlineLevel="0" collapsed="false">
      <c r="A59" s="5"/>
      <c r="B59" s="39" t="n">
        <v>1000</v>
      </c>
      <c r="C59" s="35" t="n">
        <v>1.85</v>
      </c>
      <c r="D59" s="40" t="n">
        <v>0.005</v>
      </c>
      <c r="E59" s="6"/>
    </row>
    <row r="60" customFormat="false" ht="15" hidden="false" customHeight="false" outlineLevel="0" collapsed="false">
      <c r="A60" s="7"/>
      <c r="B60" s="41" t="n">
        <v>1100</v>
      </c>
      <c r="C60" s="37" t="n">
        <v>1.83</v>
      </c>
      <c r="D60" s="42" t="n">
        <v>0.0001</v>
      </c>
      <c r="E60" s="8"/>
    </row>
    <row r="61" customFormat="false" ht="15" hidden="false" customHeight="false" outlineLevel="0" collapsed="false">
      <c r="A61" s="12" t="s">
        <v>700</v>
      </c>
      <c r="B61" s="39" t="n">
        <v>350</v>
      </c>
      <c r="C61" s="35" t="n">
        <v>0.41</v>
      </c>
      <c r="D61" s="40" t="n">
        <v>4.2</v>
      </c>
      <c r="E61" s="6" t="s">
        <v>701</v>
      </c>
    </row>
    <row r="62" customFormat="false" ht="15" hidden="false" customHeight="false" outlineLevel="0" collapsed="false">
      <c r="A62" s="7"/>
      <c r="B62" s="41" t="n">
        <v>400</v>
      </c>
      <c r="C62" s="37" t="n">
        <v>0.49</v>
      </c>
      <c r="D62" s="42" t="n">
        <v>4.86</v>
      </c>
      <c r="E62" s="8"/>
    </row>
    <row r="63" customFormat="false" ht="15" hidden="false" customHeight="false" outlineLevel="0" collapsed="false">
      <c r="A63" s="5"/>
      <c r="B63" s="39" t="n">
        <v>500</v>
      </c>
      <c r="C63" s="35" t="n">
        <v>0.77</v>
      </c>
      <c r="D63" s="40" t="n">
        <v>6.08</v>
      </c>
      <c r="E63" s="6"/>
    </row>
    <row r="64" customFormat="false" ht="15" hidden="false" customHeight="false" outlineLevel="0" collapsed="false">
      <c r="A64" s="7"/>
      <c r="B64" s="41" t="n">
        <v>600</v>
      </c>
      <c r="C64" s="37" t="n">
        <v>1.2</v>
      </c>
      <c r="D64" s="42" t="n">
        <v>7.26</v>
      </c>
      <c r="E64" s="8"/>
    </row>
    <row r="65" customFormat="false" ht="15" hidden="false" customHeight="false" outlineLevel="0" collapsed="false">
      <c r="A65" s="5"/>
      <c r="B65" s="39" t="n">
        <v>700</v>
      </c>
      <c r="C65" s="35" t="n">
        <v>1.83</v>
      </c>
      <c r="D65" s="40" t="n">
        <v>8.31</v>
      </c>
      <c r="E65" s="6"/>
    </row>
    <row r="66" customFormat="false" ht="15" hidden="false" customHeight="false" outlineLevel="0" collapsed="false">
      <c r="A66" s="7"/>
      <c r="B66" s="41" t="n">
        <v>800</v>
      </c>
      <c r="C66" s="37" t="n">
        <v>2.8</v>
      </c>
      <c r="D66" s="42" t="n">
        <v>8.45</v>
      </c>
      <c r="E66" s="8"/>
    </row>
    <row r="67" customFormat="false" ht="15" hidden="false" customHeight="false" outlineLevel="0" collapsed="false">
      <c r="A67" s="5"/>
      <c r="B67" s="39" t="n">
        <v>850</v>
      </c>
      <c r="C67" s="35" t="n">
        <v>2.75</v>
      </c>
      <c r="D67" s="40" t="n">
        <v>8.31</v>
      </c>
      <c r="E67" s="6"/>
    </row>
    <row r="68" customFormat="false" ht="15" hidden="false" customHeight="false" outlineLevel="0" collapsed="false">
      <c r="A68" s="7"/>
      <c r="B68" s="41" t="n">
        <v>900</v>
      </c>
      <c r="C68" s="37" t="n">
        <v>2.06</v>
      </c>
      <c r="D68" s="42" t="n">
        <v>8.3</v>
      </c>
      <c r="E68" s="8"/>
    </row>
    <row r="69" customFormat="false" ht="15" hidden="false" customHeight="false" outlineLevel="0" collapsed="false">
      <c r="A69" s="5"/>
      <c r="B69" s="39" t="n">
        <v>1000</v>
      </c>
      <c r="C69" s="35" t="n">
        <v>1.35</v>
      </c>
      <c r="D69" s="40" t="n">
        <v>9.58</v>
      </c>
      <c r="E69" s="6"/>
    </row>
    <row r="70" customFormat="false" ht="15" hidden="false" customHeight="false" outlineLevel="0" collapsed="false">
      <c r="A70" s="7"/>
      <c r="B70" s="41" t="n">
        <v>1100</v>
      </c>
      <c r="C70" s="37" t="n">
        <v>1.2</v>
      </c>
      <c r="D70" s="42" t="n">
        <v>10.7</v>
      </c>
      <c r="E70" s="8"/>
    </row>
    <row r="71" customFormat="false" ht="15" hidden="false" customHeight="false" outlineLevel="0" collapsed="false">
      <c r="A71" s="12" t="s">
        <v>702</v>
      </c>
      <c r="B71" s="39" t="n">
        <v>350</v>
      </c>
      <c r="C71" s="35" t="n">
        <v>0.07</v>
      </c>
      <c r="D71" s="40" t="n">
        <v>1.7</v>
      </c>
      <c r="E71" s="6" t="s">
        <v>703</v>
      </c>
    </row>
    <row r="72" customFormat="false" ht="15" hidden="false" customHeight="false" outlineLevel="0" collapsed="false">
      <c r="A72" s="7"/>
      <c r="B72" s="41" t="n">
        <v>400</v>
      </c>
      <c r="C72" s="37" t="n">
        <v>0.05</v>
      </c>
      <c r="D72" s="42" t="n">
        <v>2.1</v>
      </c>
      <c r="E72" s="8"/>
    </row>
    <row r="73" customFormat="false" ht="15" hidden="false" customHeight="false" outlineLevel="0" collapsed="false">
      <c r="A73" s="5"/>
      <c r="B73" s="39" t="n">
        <v>500</v>
      </c>
      <c r="C73" s="35" t="n">
        <v>0.05</v>
      </c>
      <c r="D73" s="40" t="n">
        <v>3.1</v>
      </c>
      <c r="E73" s="6"/>
    </row>
    <row r="74" customFormat="false" ht="15" hidden="false" customHeight="false" outlineLevel="0" collapsed="false">
      <c r="A74" s="7"/>
      <c r="B74" s="41" t="n">
        <v>600</v>
      </c>
      <c r="C74" s="37" t="n">
        <v>0.06</v>
      </c>
      <c r="D74" s="42" t="n">
        <v>4</v>
      </c>
      <c r="E74" s="8"/>
    </row>
    <row r="75" customFormat="false" ht="15" hidden="false" customHeight="false" outlineLevel="0" collapsed="false">
      <c r="A75" s="5"/>
      <c r="B75" s="39" t="n">
        <v>700</v>
      </c>
      <c r="C75" s="35" t="n">
        <v>0.14</v>
      </c>
      <c r="D75" s="40" t="n">
        <v>4.5</v>
      </c>
      <c r="E75" s="6"/>
    </row>
    <row r="76" customFormat="false" ht="15" hidden="false" customHeight="false" outlineLevel="0" collapsed="false">
      <c r="A76" s="7"/>
      <c r="B76" s="41" t="n">
        <v>800</v>
      </c>
      <c r="C76" s="37" t="n">
        <v>0.04</v>
      </c>
      <c r="D76" s="42" t="n">
        <v>5.4</v>
      </c>
      <c r="E76" s="8"/>
    </row>
    <row r="77" customFormat="false" ht="15" hidden="false" customHeight="false" outlineLevel="0" collapsed="false">
      <c r="A77" s="5"/>
      <c r="B77" s="39" t="n">
        <v>900</v>
      </c>
      <c r="C77" s="35" t="n">
        <v>0.04</v>
      </c>
      <c r="D77" s="40" t="n">
        <v>6.2</v>
      </c>
      <c r="E77" s="6"/>
    </row>
    <row r="78" customFormat="false" ht="15" hidden="false" customHeight="false" outlineLevel="0" collapsed="false">
      <c r="A78" s="7"/>
      <c r="B78" s="41" t="n">
        <v>1000</v>
      </c>
      <c r="C78" s="37" t="n">
        <v>0.04</v>
      </c>
      <c r="D78" s="42" t="n">
        <v>6.9</v>
      </c>
      <c r="E78" s="8"/>
    </row>
    <row r="79" customFormat="false" ht="15" hidden="false" customHeight="false" outlineLevel="0" collapsed="false">
      <c r="A79" s="5"/>
      <c r="B79" s="39" t="n">
        <v>1100</v>
      </c>
      <c r="C79" s="35" t="n">
        <v>0.04</v>
      </c>
      <c r="D79" s="40" t="n">
        <v>7.6</v>
      </c>
      <c r="E79" s="6"/>
    </row>
    <row r="80" customFormat="false" ht="15" hidden="false" customHeight="false" outlineLevel="0" collapsed="false">
      <c r="A80" s="9" t="s">
        <v>704</v>
      </c>
      <c r="B80" s="41" t="n">
        <v>300</v>
      </c>
      <c r="C80" s="37" t="n">
        <v>1</v>
      </c>
      <c r="D80" s="42" t="n">
        <v>0</v>
      </c>
      <c r="E80" s="8" t="s">
        <v>76</v>
      </c>
    </row>
    <row r="81" customFormat="false" ht="15" hidden="false" customHeight="false" outlineLevel="0" collapsed="false">
      <c r="A81" s="5"/>
      <c r="B81" s="39" t="n">
        <v>1200</v>
      </c>
      <c r="C81" s="35" t="n">
        <v>1</v>
      </c>
      <c r="D81" s="40" t="n">
        <v>0</v>
      </c>
      <c r="E8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17.35" hidden="false" customHeight="false" outlineLevel="0" collapsed="false">
      <c r="A1" s="1" t="s">
        <v>705</v>
      </c>
    </row>
    <row r="2" customFormat="false" ht="15" hidden="false" customHeight="false" outlineLevel="0" collapsed="false">
      <c r="A2" s="2" t="s">
        <v>706</v>
      </c>
    </row>
    <row r="4" customFormat="false" ht="35.05" hidden="false" customHeight="false" outlineLevel="0" collapsed="false">
      <c r="A4" s="4" t="s">
        <v>707</v>
      </c>
      <c r="B4" s="4" t="s">
        <v>708</v>
      </c>
      <c r="C4" s="4" t="s">
        <v>709</v>
      </c>
      <c r="D4" s="4" t="s">
        <v>710</v>
      </c>
      <c r="E4" s="4" t="s">
        <v>711</v>
      </c>
      <c r="F4" s="4" t="s">
        <v>712</v>
      </c>
      <c r="G4" s="4" t="s">
        <v>713</v>
      </c>
      <c r="H4" s="4" t="s">
        <v>714</v>
      </c>
    </row>
    <row r="5" customFormat="false" ht="15" hidden="false" customHeight="false" outlineLevel="0" collapsed="false">
      <c r="A5" s="36" t="n">
        <v>0</v>
      </c>
      <c r="B5" s="26" t="n">
        <v>21.47</v>
      </c>
      <c r="C5" s="36" t="n">
        <v>0</v>
      </c>
      <c r="D5" s="26" t="n">
        <v>42.995</v>
      </c>
      <c r="E5" s="36" t="n">
        <v>0</v>
      </c>
      <c r="F5" s="26" t="n">
        <v>25.292</v>
      </c>
      <c r="G5" s="36" t="n">
        <v>0</v>
      </c>
      <c r="H5" s="26" t="n">
        <v>0</v>
      </c>
    </row>
    <row r="6" customFormat="false" ht="15" hidden="false" customHeight="false" outlineLevel="0" collapsed="false">
      <c r="A6" s="36" t="n">
        <v>0.01</v>
      </c>
      <c r="B6" s="26" t="n">
        <v>21.47</v>
      </c>
      <c r="C6" s="36" t="n">
        <v>0.0066</v>
      </c>
      <c r="D6" s="26" t="n">
        <v>42.995</v>
      </c>
      <c r="E6" s="36" t="n">
        <v>0.0075</v>
      </c>
      <c r="F6" s="26" t="n">
        <v>25.286</v>
      </c>
      <c r="G6" s="36" t="n">
        <v>0.0161</v>
      </c>
      <c r="H6" s="26" t="n">
        <v>0</v>
      </c>
    </row>
    <row r="7" customFormat="false" ht="15" hidden="false" customHeight="false" outlineLevel="0" collapsed="false">
      <c r="A7" s="36" t="n">
        <v>0.0201</v>
      </c>
      <c r="B7" s="26" t="n">
        <v>21.47</v>
      </c>
      <c r="C7" s="36" t="n">
        <v>0.0131</v>
      </c>
      <c r="D7" s="26" t="n">
        <v>42.995</v>
      </c>
      <c r="E7" s="36" t="n">
        <v>0.0151</v>
      </c>
      <c r="F7" s="26" t="n">
        <v>25.281</v>
      </c>
      <c r="G7" s="36" t="n">
        <v>0.0323</v>
      </c>
      <c r="H7" s="26" t="n">
        <v>0</v>
      </c>
    </row>
    <row r="8" customFormat="false" ht="15" hidden="false" customHeight="false" outlineLevel="0" collapsed="false">
      <c r="A8" s="36" t="n">
        <v>0.0301</v>
      </c>
      <c r="B8" s="26" t="n">
        <v>21.47</v>
      </c>
      <c r="C8" s="36" t="n">
        <v>0.0197</v>
      </c>
      <c r="D8" s="26" t="n">
        <v>42.995</v>
      </c>
      <c r="E8" s="36" t="n">
        <v>0.0226</v>
      </c>
      <c r="F8" s="26" t="n">
        <v>25.275</v>
      </c>
      <c r="G8" s="36" t="n">
        <v>0.0484</v>
      </c>
      <c r="H8" s="26" t="n">
        <v>0</v>
      </c>
    </row>
    <row r="9" customFormat="false" ht="15" hidden="false" customHeight="false" outlineLevel="0" collapsed="false">
      <c r="A9" s="36" t="n">
        <v>0.0401</v>
      </c>
      <c r="B9" s="26" t="n">
        <v>21.47</v>
      </c>
      <c r="C9" s="36" t="n">
        <v>0.0263</v>
      </c>
      <c r="D9" s="26" t="n">
        <v>42.995</v>
      </c>
      <c r="E9" s="36" t="n">
        <v>0.0301</v>
      </c>
      <c r="F9" s="26" t="n">
        <v>25.27</v>
      </c>
      <c r="G9" s="36" t="n">
        <v>0.0646</v>
      </c>
      <c r="H9" s="26" t="n">
        <v>0</v>
      </c>
    </row>
    <row r="10" customFormat="false" ht="15" hidden="false" customHeight="false" outlineLevel="0" collapsed="false">
      <c r="A10" s="36" t="n">
        <v>0.0502</v>
      </c>
      <c r="B10" s="26" t="n">
        <v>21.47</v>
      </c>
      <c r="C10" s="36" t="n">
        <v>0.0329</v>
      </c>
      <c r="D10" s="26" t="n">
        <v>42.995</v>
      </c>
      <c r="E10" s="36" t="n">
        <v>0.0377</v>
      </c>
      <c r="F10" s="26" t="n">
        <v>25.265</v>
      </c>
      <c r="G10" s="36" t="n">
        <v>0.0807</v>
      </c>
      <c r="H10" s="26" t="n">
        <v>0</v>
      </c>
    </row>
    <row r="11" customFormat="false" ht="15" hidden="false" customHeight="false" outlineLevel="0" collapsed="false">
      <c r="A11" s="36" t="n">
        <v>0.0602</v>
      </c>
      <c r="B11" s="26" t="n">
        <v>21.47</v>
      </c>
      <c r="C11" s="36" t="n">
        <v>0.0394</v>
      </c>
      <c r="D11" s="26" t="n">
        <v>42.995</v>
      </c>
      <c r="E11" s="36" t="n">
        <v>0.0452</v>
      </c>
      <c r="F11" s="26" t="n">
        <v>25.259</v>
      </c>
      <c r="G11" s="36" t="n">
        <v>0.0969</v>
      </c>
      <c r="H11" s="26" t="n">
        <v>0</v>
      </c>
    </row>
    <row r="12" customFormat="false" ht="15" hidden="false" customHeight="false" outlineLevel="0" collapsed="false">
      <c r="A12" s="36" t="n">
        <v>0.0702</v>
      </c>
      <c r="B12" s="26" t="n">
        <v>21.47</v>
      </c>
      <c r="C12" s="36" t="n">
        <v>0.046</v>
      </c>
      <c r="D12" s="26" t="n">
        <v>42.995</v>
      </c>
      <c r="E12" s="36" t="n">
        <v>0.0527</v>
      </c>
      <c r="F12" s="26" t="n">
        <v>25.254</v>
      </c>
      <c r="G12" s="36" t="n">
        <v>0.113</v>
      </c>
      <c r="H12" s="26" t="n">
        <v>0</v>
      </c>
    </row>
    <row r="13" customFormat="false" ht="15" hidden="false" customHeight="false" outlineLevel="0" collapsed="false">
      <c r="A13" s="36" t="n">
        <v>0.0802</v>
      </c>
      <c r="B13" s="26" t="n">
        <v>21.47</v>
      </c>
      <c r="C13" s="36" t="n">
        <v>0.0526</v>
      </c>
      <c r="D13" s="26" t="n">
        <v>42.995</v>
      </c>
      <c r="E13" s="36" t="n">
        <v>0.0603</v>
      </c>
      <c r="F13" s="26" t="n">
        <v>25.249</v>
      </c>
      <c r="G13" s="36" t="n">
        <v>0.1292</v>
      </c>
      <c r="H13" s="26" t="n">
        <v>0</v>
      </c>
    </row>
    <row r="14" customFormat="false" ht="15" hidden="false" customHeight="false" outlineLevel="0" collapsed="false">
      <c r="A14" s="36" t="n">
        <v>0.0903</v>
      </c>
      <c r="B14" s="26" t="n">
        <v>21.47</v>
      </c>
      <c r="C14" s="36" t="n">
        <v>0.0592</v>
      </c>
      <c r="D14" s="26" t="n">
        <v>42.995</v>
      </c>
      <c r="E14" s="36" t="n">
        <v>0.0678</v>
      </c>
      <c r="F14" s="26" t="n">
        <v>25.243</v>
      </c>
      <c r="G14" s="36" t="n">
        <v>0.1453</v>
      </c>
      <c r="H14" s="26" t="n">
        <v>0</v>
      </c>
    </row>
    <row r="15" customFormat="false" ht="15" hidden="false" customHeight="false" outlineLevel="0" collapsed="false">
      <c r="A15" s="36" t="n">
        <v>0.1003</v>
      </c>
      <c r="B15" s="26" t="n">
        <v>21.47</v>
      </c>
      <c r="C15" s="36" t="n">
        <v>0.0657</v>
      </c>
      <c r="D15" s="26" t="n">
        <v>42.995</v>
      </c>
      <c r="E15" s="36" t="n">
        <v>0.0753</v>
      </c>
      <c r="F15" s="26" t="n">
        <v>25.238</v>
      </c>
      <c r="G15" s="36" t="n">
        <v>0.1615</v>
      </c>
      <c r="H15" s="26" t="n">
        <v>0</v>
      </c>
    </row>
    <row r="16" customFormat="false" ht="15" hidden="false" customHeight="false" outlineLevel="0" collapsed="false">
      <c r="A16" s="36" t="n">
        <v>0.1103</v>
      </c>
      <c r="B16" s="26" t="n">
        <v>21.47</v>
      </c>
      <c r="C16" s="36" t="n">
        <v>0.0723</v>
      </c>
      <c r="D16" s="26" t="n">
        <v>42.995</v>
      </c>
      <c r="E16" s="36" t="n">
        <v>0.0829</v>
      </c>
      <c r="F16" s="26" t="n">
        <v>25.232</v>
      </c>
      <c r="G16" s="36" t="n">
        <v>0.1776</v>
      </c>
      <c r="H16" s="26" t="n">
        <v>0</v>
      </c>
    </row>
    <row r="17" customFormat="false" ht="15" hidden="false" customHeight="false" outlineLevel="0" collapsed="false">
      <c r="A17" s="36" t="n">
        <v>0.1204</v>
      </c>
      <c r="B17" s="26" t="n">
        <v>21.47</v>
      </c>
      <c r="C17" s="36" t="n">
        <v>0.0789</v>
      </c>
      <c r="D17" s="26" t="n">
        <v>42.995</v>
      </c>
      <c r="E17" s="36" t="n">
        <v>0.0904</v>
      </c>
      <c r="F17" s="26" t="n">
        <v>25.227</v>
      </c>
      <c r="G17" s="36" t="n">
        <v>0.1938</v>
      </c>
      <c r="H17" s="26" t="n">
        <v>0</v>
      </c>
    </row>
    <row r="18" customFormat="false" ht="15" hidden="false" customHeight="false" outlineLevel="0" collapsed="false">
      <c r="A18" s="36" t="n">
        <v>0.1304</v>
      </c>
      <c r="B18" s="26" t="n">
        <v>21.47</v>
      </c>
      <c r="C18" s="36" t="n">
        <v>0.0855</v>
      </c>
      <c r="D18" s="26" t="n">
        <v>42.995</v>
      </c>
      <c r="E18" s="36" t="n">
        <v>0.0979</v>
      </c>
      <c r="F18" s="26" t="n">
        <v>25.222</v>
      </c>
      <c r="G18" s="36" t="n">
        <v>0.2099</v>
      </c>
      <c r="H18" s="26" t="n">
        <v>0</v>
      </c>
    </row>
    <row r="19" customFormat="false" ht="15" hidden="false" customHeight="false" outlineLevel="0" collapsed="false">
      <c r="A19" s="36" t="n">
        <v>0.1404</v>
      </c>
      <c r="B19" s="26" t="n">
        <v>21.47</v>
      </c>
      <c r="C19" s="36" t="n">
        <v>0.092</v>
      </c>
      <c r="D19" s="26" t="n">
        <v>42.995</v>
      </c>
      <c r="E19" s="36" t="n">
        <v>0.1055</v>
      </c>
      <c r="F19" s="26" t="n">
        <v>25.216</v>
      </c>
      <c r="G19" s="36" t="n">
        <v>0.2261</v>
      </c>
      <c r="H19" s="26" t="n">
        <v>0</v>
      </c>
    </row>
    <row r="20" customFormat="false" ht="15" hidden="false" customHeight="false" outlineLevel="0" collapsed="false">
      <c r="A20" s="36" t="n">
        <v>0.1505</v>
      </c>
      <c r="B20" s="26" t="n">
        <v>21.47</v>
      </c>
      <c r="C20" s="36" t="n">
        <v>0.0986</v>
      </c>
      <c r="D20" s="26" t="n">
        <v>42.995</v>
      </c>
      <c r="E20" s="36" t="n">
        <v>0.113</v>
      </c>
      <c r="F20" s="26" t="n">
        <v>25.211</v>
      </c>
      <c r="G20" s="36" t="n">
        <v>0.2422</v>
      </c>
      <c r="H20" s="26" t="n">
        <v>0</v>
      </c>
    </row>
    <row r="21" customFormat="false" ht="15" hidden="false" customHeight="false" outlineLevel="0" collapsed="false">
      <c r="A21" s="36" t="n">
        <v>0.1605</v>
      </c>
      <c r="B21" s="26" t="n">
        <v>21.47</v>
      </c>
      <c r="C21" s="36" t="n">
        <v>0.1052</v>
      </c>
      <c r="D21" s="26" t="n">
        <v>42.995</v>
      </c>
      <c r="E21" s="36" t="n">
        <v>0.1205</v>
      </c>
      <c r="F21" s="26" t="n">
        <v>25.206</v>
      </c>
      <c r="G21" s="36" t="n">
        <v>0.2584</v>
      </c>
      <c r="H21" s="26" t="n">
        <v>0</v>
      </c>
    </row>
    <row r="22" customFormat="false" ht="15" hidden="false" customHeight="false" outlineLevel="0" collapsed="false">
      <c r="A22" s="36" t="n">
        <v>0.1705</v>
      </c>
      <c r="B22" s="26" t="n">
        <v>21.47</v>
      </c>
      <c r="C22" s="36" t="n">
        <v>0.1118</v>
      </c>
      <c r="D22" s="26" t="n">
        <v>42.995</v>
      </c>
      <c r="E22" s="36" t="n">
        <v>0.1281</v>
      </c>
      <c r="F22" s="26" t="n">
        <v>25.2</v>
      </c>
      <c r="G22" s="36" t="n">
        <v>0.2745</v>
      </c>
      <c r="H22" s="26" t="n">
        <v>0</v>
      </c>
    </row>
    <row r="23" customFormat="false" ht="15" hidden="false" customHeight="false" outlineLevel="0" collapsed="false">
      <c r="A23" s="36" t="n">
        <v>0.1805</v>
      </c>
      <c r="B23" s="26" t="n">
        <v>21.47</v>
      </c>
      <c r="C23" s="36" t="n">
        <v>0.1183</v>
      </c>
      <c r="D23" s="26" t="n">
        <v>42.995</v>
      </c>
      <c r="E23" s="36" t="n">
        <v>0.1356</v>
      </c>
      <c r="F23" s="26" t="n">
        <v>25.195</v>
      </c>
      <c r="G23" s="36" t="n">
        <v>0.2907</v>
      </c>
      <c r="H23" s="26" t="n">
        <v>0</v>
      </c>
    </row>
    <row r="24" customFormat="false" ht="15" hidden="false" customHeight="false" outlineLevel="0" collapsed="false">
      <c r="A24" s="36" t="n">
        <v>0.1906</v>
      </c>
      <c r="B24" s="26" t="n">
        <v>21.47</v>
      </c>
      <c r="C24" s="36" t="n">
        <v>0.1249</v>
      </c>
      <c r="D24" s="26" t="n">
        <v>42.995</v>
      </c>
      <c r="E24" s="36" t="n">
        <v>0.1431</v>
      </c>
      <c r="F24" s="26" t="n">
        <v>25.189</v>
      </c>
      <c r="G24" s="36" t="n">
        <v>0.3068</v>
      </c>
      <c r="H24" s="26" t="n">
        <v>0</v>
      </c>
    </row>
    <row r="25" customFormat="false" ht="15" hidden="false" customHeight="false" outlineLevel="0" collapsed="false">
      <c r="A25" s="36" t="n">
        <v>0.2006</v>
      </c>
      <c r="B25" s="26" t="n">
        <v>21.47</v>
      </c>
      <c r="C25" s="36" t="n">
        <v>0.1315</v>
      </c>
      <c r="D25" s="26" t="n">
        <v>42.995</v>
      </c>
      <c r="E25" s="36" t="n">
        <v>0.1507</v>
      </c>
      <c r="F25" s="26" t="n">
        <v>25.184</v>
      </c>
      <c r="G25" s="36" t="n">
        <v>0.3229</v>
      </c>
      <c r="H25" s="26" t="n">
        <v>0</v>
      </c>
    </row>
    <row r="26" customFormat="false" ht="15" hidden="false" customHeight="false" outlineLevel="0" collapsed="false">
      <c r="A26" s="36" t="n">
        <v>0.2106</v>
      </c>
      <c r="B26" s="26" t="n">
        <v>21.47</v>
      </c>
      <c r="C26" s="36" t="n">
        <v>0.1381</v>
      </c>
      <c r="D26" s="26" t="n">
        <v>42.995</v>
      </c>
      <c r="E26" s="36" t="n">
        <v>0.1582</v>
      </c>
      <c r="F26" s="26" t="n">
        <v>25.179</v>
      </c>
      <c r="G26" s="36" t="n">
        <v>0.3391</v>
      </c>
      <c r="H26" s="26" t="n">
        <v>0</v>
      </c>
    </row>
    <row r="27" customFormat="false" ht="15" hidden="false" customHeight="false" outlineLevel="0" collapsed="false">
      <c r="A27" s="36" t="n">
        <v>0.2207</v>
      </c>
      <c r="B27" s="26" t="n">
        <v>21.47</v>
      </c>
      <c r="C27" s="36" t="n">
        <v>0.1446</v>
      </c>
      <c r="D27" s="26" t="n">
        <v>42.995</v>
      </c>
      <c r="E27" s="36" t="n">
        <v>0.1657</v>
      </c>
      <c r="F27" s="26" t="n">
        <v>25.173</v>
      </c>
      <c r="G27" s="36" t="n">
        <v>0.3552</v>
      </c>
      <c r="H27" s="26" t="n">
        <v>0</v>
      </c>
    </row>
    <row r="28" customFormat="false" ht="15" hidden="false" customHeight="false" outlineLevel="0" collapsed="false">
      <c r="A28" s="36" t="n">
        <v>0.2307</v>
      </c>
      <c r="B28" s="26" t="n">
        <v>21.47</v>
      </c>
      <c r="C28" s="36" t="n">
        <v>0.1512</v>
      </c>
      <c r="D28" s="26" t="n">
        <v>42.995</v>
      </c>
      <c r="E28" s="36" t="n">
        <v>0.1733</v>
      </c>
      <c r="F28" s="26" t="n">
        <v>25.168</v>
      </c>
      <c r="G28" s="36" t="n">
        <v>0.3714</v>
      </c>
      <c r="H28" s="26" t="n">
        <v>0</v>
      </c>
    </row>
    <row r="29" customFormat="false" ht="15" hidden="false" customHeight="false" outlineLevel="0" collapsed="false">
      <c r="A29" s="36" t="n">
        <v>0.2407</v>
      </c>
      <c r="B29" s="26" t="n">
        <v>21.47</v>
      </c>
      <c r="C29" s="36" t="n">
        <v>0.1578</v>
      </c>
      <c r="D29" s="26" t="n">
        <v>42.995</v>
      </c>
      <c r="E29" s="36" t="n">
        <v>0.1808</v>
      </c>
      <c r="F29" s="26" t="n">
        <v>25.163</v>
      </c>
      <c r="G29" s="36" t="n">
        <v>0.3875</v>
      </c>
      <c r="H29" s="26" t="n">
        <v>0</v>
      </c>
    </row>
    <row r="30" customFormat="false" ht="15" hidden="false" customHeight="false" outlineLevel="0" collapsed="false">
      <c r="A30" s="36" t="n">
        <v>0.2508</v>
      </c>
      <c r="B30" s="26" t="n">
        <v>21.47</v>
      </c>
      <c r="C30" s="36" t="n">
        <v>0.1644</v>
      </c>
      <c r="D30" s="26" t="n">
        <v>42.995</v>
      </c>
      <c r="E30" s="36" t="n">
        <v>0.1883</v>
      </c>
      <c r="F30" s="26" t="n">
        <v>25.157</v>
      </c>
      <c r="G30" s="36" t="n">
        <v>0.4037</v>
      </c>
      <c r="H30" s="26" t="n">
        <v>0</v>
      </c>
    </row>
    <row r="31" customFormat="false" ht="15" hidden="false" customHeight="false" outlineLevel="0" collapsed="false">
      <c r="A31" s="36" t="n">
        <v>0.2608</v>
      </c>
      <c r="B31" s="26" t="n">
        <v>21.47</v>
      </c>
      <c r="C31" s="36" t="n">
        <v>0.1709</v>
      </c>
      <c r="D31" s="26" t="n">
        <v>42.995</v>
      </c>
      <c r="E31" s="36" t="n">
        <v>0.1959</v>
      </c>
      <c r="F31" s="26" t="n">
        <v>25.152</v>
      </c>
      <c r="G31" s="36" t="n">
        <v>0.4198</v>
      </c>
      <c r="H31" s="26" t="n">
        <v>0</v>
      </c>
    </row>
    <row r="32" customFormat="false" ht="15" hidden="false" customHeight="false" outlineLevel="0" collapsed="false">
      <c r="A32" s="36" t="n">
        <v>0.2708</v>
      </c>
      <c r="B32" s="26" t="n">
        <v>21.47</v>
      </c>
      <c r="C32" s="36" t="n">
        <v>0.1775</v>
      </c>
      <c r="D32" s="26" t="n">
        <v>42.994</v>
      </c>
      <c r="E32" s="36" t="n">
        <v>0.2034</v>
      </c>
      <c r="F32" s="26" t="n">
        <v>25.146</v>
      </c>
      <c r="G32" s="36" t="n">
        <v>0.436</v>
      </c>
      <c r="H32" s="26" t="n">
        <v>0</v>
      </c>
    </row>
    <row r="33" customFormat="false" ht="15" hidden="false" customHeight="false" outlineLevel="0" collapsed="false">
      <c r="A33" s="36" t="n">
        <v>0.2808</v>
      </c>
      <c r="B33" s="26" t="n">
        <v>21.47</v>
      </c>
      <c r="C33" s="36" t="n">
        <v>0.1841</v>
      </c>
      <c r="D33" s="26" t="n">
        <v>42.994</v>
      </c>
      <c r="E33" s="36" t="n">
        <v>0.2109</v>
      </c>
      <c r="F33" s="26" t="n">
        <v>25.141</v>
      </c>
      <c r="G33" s="36" t="n">
        <v>0.4521</v>
      </c>
      <c r="H33" s="26" t="n">
        <v>0</v>
      </c>
    </row>
    <row r="34" customFormat="false" ht="15" hidden="false" customHeight="false" outlineLevel="0" collapsed="false">
      <c r="A34" s="36" t="n">
        <v>0.2909</v>
      </c>
      <c r="B34" s="26" t="n">
        <v>21.47</v>
      </c>
      <c r="C34" s="36" t="n">
        <v>0.1906</v>
      </c>
      <c r="D34" s="26" t="n">
        <v>42.994</v>
      </c>
      <c r="E34" s="36" t="n">
        <v>0.2185</v>
      </c>
      <c r="F34" s="26" t="n">
        <v>25.136</v>
      </c>
      <c r="G34" s="36" t="n">
        <v>0.4683</v>
      </c>
      <c r="H34" s="26" t="n">
        <v>0</v>
      </c>
    </row>
    <row r="35" customFormat="false" ht="15" hidden="false" customHeight="false" outlineLevel="0" collapsed="false">
      <c r="A35" s="36" t="n">
        <v>0.3009</v>
      </c>
      <c r="B35" s="26" t="n">
        <v>21.47</v>
      </c>
      <c r="C35" s="36" t="n">
        <v>0.1972</v>
      </c>
      <c r="D35" s="26" t="n">
        <v>42.994</v>
      </c>
      <c r="E35" s="36" t="n">
        <v>0.226</v>
      </c>
      <c r="F35" s="26" t="n">
        <v>25.13</v>
      </c>
      <c r="G35" s="36" t="n">
        <v>0.4844</v>
      </c>
      <c r="H35" s="26" t="n">
        <v>0</v>
      </c>
    </row>
    <row r="36" customFormat="false" ht="15" hidden="false" customHeight="false" outlineLevel="0" collapsed="false">
      <c r="A36" s="36" t="n">
        <v>0.3109</v>
      </c>
      <c r="B36" s="26" t="n">
        <v>21.47</v>
      </c>
      <c r="C36" s="36" t="n">
        <v>0.2038</v>
      </c>
      <c r="D36" s="26" t="n">
        <v>42.994</v>
      </c>
      <c r="E36" s="36" t="n">
        <v>0.2335</v>
      </c>
      <c r="F36" s="26" t="n">
        <v>25.125</v>
      </c>
      <c r="G36" s="36" t="n">
        <v>0.5006</v>
      </c>
      <c r="H36" s="26" t="n">
        <v>0</v>
      </c>
    </row>
    <row r="37" customFormat="false" ht="15" hidden="false" customHeight="false" outlineLevel="0" collapsed="false">
      <c r="A37" s="36" t="n">
        <v>0.321</v>
      </c>
      <c r="B37" s="26" t="n">
        <v>21.47</v>
      </c>
      <c r="C37" s="36" t="n">
        <v>0.2104</v>
      </c>
      <c r="D37" s="26" t="n">
        <v>42.994</v>
      </c>
      <c r="E37" s="36" t="n">
        <v>0.241</v>
      </c>
      <c r="F37" s="26" t="n">
        <v>25.12</v>
      </c>
      <c r="G37" s="36" t="n">
        <v>0.5167</v>
      </c>
      <c r="H37" s="26" t="n">
        <v>0</v>
      </c>
    </row>
    <row r="38" customFormat="false" ht="15" hidden="false" customHeight="false" outlineLevel="0" collapsed="false">
      <c r="A38" s="36" t="n">
        <v>0.331</v>
      </c>
      <c r="B38" s="26" t="n">
        <v>21.47</v>
      </c>
      <c r="C38" s="36" t="n">
        <v>0.2169</v>
      </c>
      <c r="D38" s="26" t="n">
        <v>42.994</v>
      </c>
      <c r="E38" s="36" t="n">
        <v>0.2486</v>
      </c>
      <c r="F38" s="26" t="n">
        <v>25.114</v>
      </c>
      <c r="G38" s="36" t="n">
        <v>0.5329</v>
      </c>
      <c r="H38" s="26" t="n">
        <v>0</v>
      </c>
    </row>
    <row r="39" customFormat="false" ht="15" hidden="false" customHeight="false" outlineLevel="0" collapsed="false">
      <c r="A39" s="36" t="n">
        <v>0.341</v>
      </c>
      <c r="B39" s="26" t="n">
        <v>21.47</v>
      </c>
      <c r="C39" s="36" t="n">
        <v>0.2235</v>
      </c>
      <c r="D39" s="26" t="n">
        <v>42.994</v>
      </c>
      <c r="E39" s="36" t="n">
        <v>0.2561</v>
      </c>
      <c r="F39" s="26" t="n">
        <v>25.109</v>
      </c>
      <c r="G39" s="36" t="n">
        <v>0.549</v>
      </c>
      <c r="H39" s="26" t="n">
        <v>0</v>
      </c>
    </row>
    <row r="40" customFormat="false" ht="15" hidden="false" customHeight="false" outlineLevel="0" collapsed="false">
      <c r="A40" s="36" t="n">
        <v>0.3511</v>
      </c>
      <c r="B40" s="26" t="n">
        <v>21.47</v>
      </c>
      <c r="C40" s="36" t="n">
        <v>0.2301</v>
      </c>
      <c r="D40" s="26" t="n">
        <v>42.994</v>
      </c>
      <c r="E40" s="36" t="n">
        <v>0.2636</v>
      </c>
      <c r="F40" s="26" t="n">
        <v>25.103</v>
      </c>
      <c r="G40" s="36" t="n">
        <v>0.5652</v>
      </c>
      <c r="H40" s="26" t="n">
        <v>0</v>
      </c>
    </row>
    <row r="41" customFormat="false" ht="15" hidden="false" customHeight="false" outlineLevel="0" collapsed="false">
      <c r="A41" s="36" t="n">
        <v>0.3611</v>
      </c>
      <c r="B41" s="26" t="n">
        <v>21.47</v>
      </c>
      <c r="C41" s="36" t="n">
        <v>0.2367</v>
      </c>
      <c r="D41" s="26" t="n">
        <v>42.994</v>
      </c>
      <c r="E41" s="36" t="n">
        <v>0.2712</v>
      </c>
      <c r="F41" s="26" t="n">
        <v>25.098</v>
      </c>
      <c r="G41" s="36" t="n">
        <v>0.5813</v>
      </c>
      <c r="H41" s="26" t="n">
        <v>0</v>
      </c>
    </row>
    <row r="42" customFormat="false" ht="15" hidden="false" customHeight="false" outlineLevel="0" collapsed="false">
      <c r="A42" s="36" t="n">
        <v>0.3711</v>
      </c>
      <c r="B42" s="26" t="n">
        <v>21.47</v>
      </c>
      <c r="C42" s="36" t="n">
        <v>0.2432</v>
      </c>
      <c r="D42" s="26" t="n">
        <v>42.994</v>
      </c>
      <c r="E42" s="36" t="n">
        <v>0.2787</v>
      </c>
      <c r="F42" s="26" t="n">
        <v>25.093</v>
      </c>
      <c r="G42" s="36" t="n">
        <v>0.5975</v>
      </c>
      <c r="H42" s="26" t="n">
        <v>0</v>
      </c>
    </row>
    <row r="43" customFormat="false" ht="15" hidden="false" customHeight="false" outlineLevel="0" collapsed="false">
      <c r="A43" s="36" t="n">
        <v>0.3811</v>
      </c>
      <c r="B43" s="26" t="n">
        <v>21.47</v>
      </c>
      <c r="C43" s="36" t="n">
        <v>0.2498</v>
      </c>
      <c r="D43" s="26" t="n">
        <v>42.994</v>
      </c>
      <c r="E43" s="36" t="n">
        <v>0.2862</v>
      </c>
      <c r="F43" s="26" t="n">
        <v>25.087</v>
      </c>
      <c r="G43" s="36" t="n">
        <v>0.6136</v>
      </c>
      <c r="H43" s="26" t="n">
        <v>0</v>
      </c>
    </row>
    <row r="44" customFormat="false" ht="15" hidden="false" customHeight="false" outlineLevel="0" collapsed="false">
      <c r="A44" s="36" t="n">
        <v>0.3912</v>
      </c>
      <c r="B44" s="26" t="n">
        <v>21.47</v>
      </c>
      <c r="C44" s="36" t="n">
        <v>0.2564</v>
      </c>
      <c r="D44" s="26" t="n">
        <v>42.994</v>
      </c>
      <c r="E44" s="36" t="n">
        <v>0.2938</v>
      </c>
      <c r="F44" s="26" t="n">
        <v>25.082</v>
      </c>
      <c r="G44" s="36" t="n">
        <v>0.6297</v>
      </c>
      <c r="H44" s="26" t="n">
        <v>0</v>
      </c>
    </row>
    <row r="45" customFormat="false" ht="15" hidden="false" customHeight="false" outlineLevel="0" collapsed="false">
      <c r="A45" s="36" t="n">
        <v>0.4012</v>
      </c>
      <c r="B45" s="26" t="n">
        <v>21.47</v>
      </c>
      <c r="C45" s="36" t="n">
        <v>0.263</v>
      </c>
      <c r="D45" s="26" t="n">
        <v>42.994</v>
      </c>
      <c r="E45" s="36" t="n">
        <v>0.3013</v>
      </c>
      <c r="F45" s="26" t="n">
        <v>25.077</v>
      </c>
      <c r="G45" s="36" t="n">
        <v>0.6459</v>
      </c>
      <c r="H45" s="26" t="n">
        <v>0</v>
      </c>
    </row>
    <row r="46" customFormat="false" ht="15" hidden="false" customHeight="false" outlineLevel="0" collapsed="false">
      <c r="A46" s="36" t="n">
        <v>0.4112</v>
      </c>
      <c r="B46" s="26" t="n">
        <v>21.47</v>
      </c>
      <c r="C46" s="36" t="n">
        <v>0.2695</v>
      </c>
      <c r="D46" s="26" t="n">
        <v>42.994</v>
      </c>
      <c r="E46" s="36" t="n">
        <v>0.3088</v>
      </c>
      <c r="F46" s="26" t="n">
        <v>25.071</v>
      </c>
      <c r="G46" s="36" t="n">
        <v>0.662</v>
      </c>
      <c r="H46" s="26" t="n">
        <v>0</v>
      </c>
    </row>
    <row r="47" customFormat="false" ht="15" hidden="false" customHeight="false" outlineLevel="0" collapsed="false">
      <c r="A47" s="36" t="n">
        <v>0.4213</v>
      </c>
      <c r="B47" s="26" t="n">
        <v>21.47</v>
      </c>
      <c r="C47" s="36" t="n">
        <v>0.2761</v>
      </c>
      <c r="D47" s="26" t="n">
        <v>42.994</v>
      </c>
      <c r="E47" s="36" t="n">
        <v>0.3164</v>
      </c>
      <c r="F47" s="26" t="n">
        <v>25.066</v>
      </c>
      <c r="G47" s="36" t="n">
        <v>0.6782</v>
      </c>
      <c r="H47" s="26" t="n">
        <v>0</v>
      </c>
    </row>
    <row r="48" customFormat="false" ht="15" hidden="false" customHeight="false" outlineLevel="0" collapsed="false">
      <c r="A48" s="36" t="n">
        <v>0.4313</v>
      </c>
      <c r="B48" s="26" t="n">
        <v>21.47</v>
      </c>
      <c r="C48" s="36" t="n">
        <v>0.2827</v>
      </c>
      <c r="D48" s="26" t="n">
        <v>42.994</v>
      </c>
      <c r="E48" s="36" t="n">
        <v>0.3239</v>
      </c>
      <c r="F48" s="26" t="n">
        <v>25.06</v>
      </c>
      <c r="G48" s="36" t="n">
        <v>0.6943</v>
      </c>
      <c r="H48" s="26" t="n">
        <v>0</v>
      </c>
    </row>
    <row r="49" customFormat="false" ht="15" hidden="false" customHeight="false" outlineLevel="0" collapsed="false">
      <c r="A49" s="36" t="n">
        <v>0.4413</v>
      </c>
      <c r="B49" s="26" t="n">
        <v>21.47</v>
      </c>
      <c r="C49" s="36" t="n">
        <v>0.2893</v>
      </c>
      <c r="D49" s="26" t="n">
        <v>42.994</v>
      </c>
      <c r="E49" s="36" t="n">
        <v>0.3314</v>
      </c>
      <c r="F49" s="26" t="n">
        <v>25.055</v>
      </c>
      <c r="G49" s="36" t="n">
        <v>0.7105</v>
      </c>
      <c r="H49" s="26" t="n">
        <v>0</v>
      </c>
    </row>
    <row r="50" customFormat="false" ht="15" hidden="false" customHeight="false" outlineLevel="0" collapsed="false">
      <c r="A50" s="36" t="n">
        <v>0.4514</v>
      </c>
      <c r="B50" s="26" t="n">
        <v>21.47</v>
      </c>
      <c r="C50" s="36" t="n">
        <v>0.2958</v>
      </c>
      <c r="D50" s="26" t="n">
        <v>42.994</v>
      </c>
      <c r="E50" s="36" t="n">
        <v>0.339</v>
      </c>
      <c r="F50" s="26" t="n">
        <v>25.049</v>
      </c>
      <c r="G50" s="36" t="n">
        <v>0.7266</v>
      </c>
      <c r="H50" s="26" t="n">
        <v>0</v>
      </c>
    </row>
    <row r="51" customFormat="false" ht="15" hidden="false" customHeight="false" outlineLevel="0" collapsed="false">
      <c r="A51" s="36" t="n">
        <v>0.4614</v>
      </c>
      <c r="B51" s="26" t="n">
        <v>21.47</v>
      </c>
      <c r="C51" s="36" t="n">
        <v>0.3024</v>
      </c>
      <c r="D51" s="26" t="n">
        <v>42.994</v>
      </c>
      <c r="E51" s="36" t="n">
        <v>0.3465</v>
      </c>
      <c r="F51" s="26" t="n">
        <v>25.044</v>
      </c>
      <c r="G51" s="36" t="n">
        <v>0.7428</v>
      </c>
      <c r="H51" s="26" t="n">
        <v>0</v>
      </c>
    </row>
    <row r="52" customFormat="false" ht="15" hidden="false" customHeight="false" outlineLevel="0" collapsed="false">
      <c r="A52" s="36" t="n">
        <v>0.4714</v>
      </c>
      <c r="B52" s="26" t="n">
        <v>21.47</v>
      </c>
      <c r="C52" s="36" t="n">
        <v>0.309</v>
      </c>
      <c r="D52" s="26" t="n">
        <v>42.994</v>
      </c>
      <c r="E52" s="36" t="n">
        <v>0.354</v>
      </c>
      <c r="F52" s="26" t="n">
        <v>25.039</v>
      </c>
      <c r="G52" s="36" t="n">
        <v>0.7589</v>
      </c>
      <c r="H52" s="26" t="n">
        <v>0</v>
      </c>
    </row>
    <row r="53" customFormat="false" ht="15" hidden="false" customHeight="false" outlineLevel="0" collapsed="false">
      <c r="A53" s="36" t="n">
        <v>0.4814</v>
      </c>
      <c r="B53" s="26" t="n">
        <v>21.47</v>
      </c>
      <c r="C53" s="36" t="n">
        <v>0.3156</v>
      </c>
      <c r="D53" s="26" t="n">
        <v>42.994</v>
      </c>
      <c r="E53" s="36" t="n">
        <v>0.3616</v>
      </c>
      <c r="F53" s="26" t="n">
        <v>25.033</v>
      </c>
      <c r="G53" s="36" t="n">
        <v>0.7751</v>
      </c>
      <c r="H53" s="26" t="n">
        <v>0</v>
      </c>
    </row>
    <row r="54" customFormat="false" ht="15" hidden="false" customHeight="false" outlineLevel="0" collapsed="false">
      <c r="A54" s="36" t="n">
        <v>0.4915</v>
      </c>
      <c r="B54" s="26" t="n">
        <v>21.47</v>
      </c>
      <c r="C54" s="36" t="n">
        <v>0.3221</v>
      </c>
      <c r="D54" s="26" t="n">
        <v>42.994</v>
      </c>
      <c r="E54" s="36" t="n">
        <v>0.3691</v>
      </c>
      <c r="F54" s="26" t="n">
        <v>25.027</v>
      </c>
      <c r="G54" s="36" t="n">
        <v>0.7912</v>
      </c>
      <c r="H54" s="26" t="n">
        <v>0</v>
      </c>
    </row>
    <row r="55" customFormat="false" ht="15" hidden="false" customHeight="false" outlineLevel="0" collapsed="false">
      <c r="A55" s="36" t="n">
        <v>0.5015</v>
      </c>
      <c r="B55" s="26" t="n">
        <v>21.47</v>
      </c>
      <c r="C55" s="36" t="n">
        <v>0.3287</v>
      </c>
      <c r="D55" s="26" t="n">
        <v>42.994</v>
      </c>
      <c r="E55" s="36" t="n">
        <v>0.3766</v>
      </c>
      <c r="F55" s="26" t="n">
        <v>25.022</v>
      </c>
      <c r="G55" s="36" t="n">
        <v>0.8074</v>
      </c>
      <c r="H55" s="26" t="n">
        <v>0</v>
      </c>
    </row>
    <row r="56" customFormat="false" ht="15" hidden="false" customHeight="false" outlineLevel="0" collapsed="false">
      <c r="A56" s="36" t="n">
        <v>0.5115</v>
      </c>
      <c r="B56" s="26" t="n">
        <v>21.47</v>
      </c>
      <c r="C56" s="36" t="n">
        <v>0.3353</v>
      </c>
      <c r="D56" s="26" t="n">
        <v>42.994</v>
      </c>
      <c r="E56" s="36" t="n">
        <v>0.3842</v>
      </c>
      <c r="F56" s="26" t="n">
        <v>25.016</v>
      </c>
      <c r="G56" s="36" t="n">
        <v>0.8235</v>
      </c>
      <c r="H56" s="26" t="n">
        <v>0</v>
      </c>
    </row>
    <row r="57" customFormat="false" ht="15" hidden="false" customHeight="false" outlineLevel="0" collapsed="false">
      <c r="A57" s="36" t="n">
        <v>0.5216</v>
      </c>
      <c r="B57" s="26" t="n">
        <v>21.47</v>
      </c>
      <c r="C57" s="36" t="n">
        <v>0.3418</v>
      </c>
      <c r="D57" s="26" t="n">
        <v>42.994</v>
      </c>
      <c r="E57" s="36" t="n">
        <v>0.3917</v>
      </c>
      <c r="F57" s="26" t="n">
        <v>25.011</v>
      </c>
      <c r="G57" s="36" t="n">
        <v>0.8397</v>
      </c>
      <c r="H57" s="26" t="n">
        <v>0</v>
      </c>
    </row>
    <row r="58" customFormat="false" ht="15" hidden="false" customHeight="false" outlineLevel="0" collapsed="false">
      <c r="A58" s="36" t="n">
        <v>0.5316</v>
      </c>
      <c r="B58" s="26" t="n">
        <v>21.47</v>
      </c>
      <c r="C58" s="36" t="n">
        <v>0.3484</v>
      </c>
      <c r="D58" s="26" t="n">
        <v>42.994</v>
      </c>
      <c r="E58" s="36" t="n">
        <v>0.3992</v>
      </c>
      <c r="F58" s="26" t="n">
        <v>25.005</v>
      </c>
      <c r="G58" s="36" t="n">
        <v>0.8558</v>
      </c>
      <c r="H58" s="26" t="n">
        <v>0</v>
      </c>
    </row>
    <row r="59" customFormat="false" ht="15" hidden="false" customHeight="false" outlineLevel="0" collapsed="false">
      <c r="A59" s="36" t="n">
        <v>0.5416</v>
      </c>
      <c r="B59" s="26" t="n">
        <v>21.47</v>
      </c>
      <c r="C59" s="36" t="n">
        <v>0.355</v>
      </c>
      <c r="D59" s="26" t="n">
        <v>42.994</v>
      </c>
      <c r="E59" s="36" t="n">
        <v>0.4068</v>
      </c>
      <c r="F59" s="26" t="n">
        <v>24.999</v>
      </c>
      <c r="G59" s="36" t="n">
        <v>0.872</v>
      </c>
      <c r="H59" s="26" t="n">
        <v>0</v>
      </c>
    </row>
    <row r="60" customFormat="false" ht="15" hidden="false" customHeight="false" outlineLevel="0" collapsed="false">
      <c r="A60" s="36" t="n">
        <v>0.5517</v>
      </c>
      <c r="B60" s="26" t="n">
        <v>21.47</v>
      </c>
      <c r="C60" s="36" t="n">
        <v>0.3616</v>
      </c>
      <c r="D60" s="26" t="n">
        <v>42.994</v>
      </c>
      <c r="E60" s="36" t="n">
        <v>0.4143</v>
      </c>
      <c r="F60" s="26" t="n">
        <v>24.993</v>
      </c>
      <c r="G60" s="36" t="n">
        <v>0.8881</v>
      </c>
      <c r="H60" s="26" t="n">
        <v>0</v>
      </c>
    </row>
    <row r="61" customFormat="false" ht="15" hidden="false" customHeight="false" outlineLevel="0" collapsed="false">
      <c r="A61" s="36" t="n">
        <v>0.5617</v>
      </c>
      <c r="B61" s="26" t="n">
        <v>21.47</v>
      </c>
      <c r="C61" s="36" t="n">
        <v>0.3681</v>
      </c>
      <c r="D61" s="26" t="n">
        <v>42.993</v>
      </c>
      <c r="E61" s="36" t="n">
        <v>0.4218</v>
      </c>
      <c r="F61" s="26" t="n">
        <v>24.988</v>
      </c>
      <c r="G61" s="36" t="n">
        <v>0.9043</v>
      </c>
      <c r="H61" s="26" t="n">
        <v>0</v>
      </c>
    </row>
    <row r="62" customFormat="false" ht="15" hidden="false" customHeight="false" outlineLevel="0" collapsed="false">
      <c r="A62" s="36" t="n">
        <v>0.5717</v>
      </c>
      <c r="B62" s="26" t="n">
        <v>21.47</v>
      </c>
      <c r="C62" s="36" t="n">
        <v>0.3747</v>
      </c>
      <c r="D62" s="26" t="n">
        <v>42.993</v>
      </c>
      <c r="E62" s="36" t="n">
        <v>0.4294</v>
      </c>
      <c r="F62" s="26" t="n">
        <v>24.982</v>
      </c>
      <c r="G62" s="36" t="n">
        <v>0.9204</v>
      </c>
      <c r="H62" s="26" t="n">
        <v>0</v>
      </c>
    </row>
    <row r="63" customFormat="false" ht="15" hidden="false" customHeight="false" outlineLevel="0" collapsed="false">
      <c r="A63" s="36" t="n">
        <v>0.5818</v>
      </c>
      <c r="B63" s="26" t="n">
        <v>21.47</v>
      </c>
      <c r="C63" s="36" t="n">
        <v>0.3813</v>
      </c>
      <c r="D63" s="26" t="n">
        <v>42.993</v>
      </c>
      <c r="E63" s="36" t="n">
        <v>0.4369</v>
      </c>
      <c r="F63" s="26" t="n">
        <v>24.975</v>
      </c>
      <c r="G63" s="36" t="n">
        <v>0.9365</v>
      </c>
      <c r="H63" s="26" t="n">
        <v>0</v>
      </c>
    </row>
    <row r="64" customFormat="false" ht="15" hidden="false" customHeight="false" outlineLevel="0" collapsed="false">
      <c r="A64" s="36" t="n">
        <v>0.5918</v>
      </c>
      <c r="B64" s="26" t="n">
        <v>21.47</v>
      </c>
      <c r="C64" s="36" t="n">
        <v>0.3879</v>
      </c>
      <c r="D64" s="26" t="n">
        <v>42.993</v>
      </c>
      <c r="E64" s="36" t="n">
        <v>0.4444</v>
      </c>
      <c r="F64" s="26" t="n">
        <v>24.969</v>
      </c>
      <c r="G64" s="36" t="n">
        <v>0.9527</v>
      </c>
      <c r="H64" s="26" t="n">
        <v>0</v>
      </c>
    </row>
    <row r="65" customFormat="false" ht="15" hidden="false" customHeight="false" outlineLevel="0" collapsed="false">
      <c r="A65" s="36" t="n">
        <v>0.6018</v>
      </c>
      <c r="B65" s="26" t="n">
        <v>21.47</v>
      </c>
      <c r="C65" s="36" t="n">
        <v>0.3944</v>
      </c>
      <c r="D65" s="26" t="n">
        <v>42.993</v>
      </c>
      <c r="E65" s="36" t="n">
        <v>0.452</v>
      </c>
      <c r="F65" s="26" t="n">
        <v>24.962</v>
      </c>
      <c r="G65" s="36" t="n">
        <v>0.9688</v>
      </c>
      <c r="H65" s="26" t="n">
        <v>0</v>
      </c>
    </row>
    <row r="66" customFormat="false" ht="15" hidden="false" customHeight="false" outlineLevel="0" collapsed="false">
      <c r="A66" s="36" t="n">
        <v>0.6118</v>
      </c>
      <c r="B66" s="26" t="n">
        <v>21.47</v>
      </c>
      <c r="C66" s="36" t="n">
        <v>0.401</v>
      </c>
      <c r="D66" s="26" t="n">
        <v>42.993</v>
      </c>
      <c r="E66" s="36" t="n">
        <v>0.4595</v>
      </c>
      <c r="F66" s="26" t="n">
        <v>24.956</v>
      </c>
      <c r="G66" s="36" t="n">
        <v>0.985</v>
      </c>
      <c r="H66" s="26" t="n">
        <v>0</v>
      </c>
    </row>
    <row r="67" customFormat="false" ht="15" hidden="false" customHeight="false" outlineLevel="0" collapsed="false">
      <c r="A67" s="36" t="n">
        <v>0.6219</v>
      </c>
      <c r="B67" s="26" t="n">
        <v>21.47</v>
      </c>
      <c r="C67" s="36" t="n">
        <v>0.4076</v>
      </c>
      <c r="D67" s="26" t="n">
        <v>42.993</v>
      </c>
      <c r="E67" s="36" t="n">
        <v>0.467</v>
      </c>
      <c r="F67" s="26" t="n">
        <v>24.949</v>
      </c>
      <c r="G67" s="36" t="n">
        <v>1.0011</v>
      </c>
      <c r="H67" s="26" t="n">
        <v>0</v>
      </c>
    </row>
    <row r="68" customFormat="false" ht="15" hidden="false" customHeight="false" outlineLevel="0" collapsed="false">
      <c r="A68" s="36" t="n">
        <v>0.6319</v>
      </c>
      <c r="B68" s="26" t="n">
        <v>21.47</v>
      </c>
      <c r="C68" s="36" t="n">
        <v>0.4142</v>
      </c>
      <c r="D68" s="26" t="n">
        <v>42.993</v>
      </c>
      <c r="E68" s="36" t="n">
        <v>0.4746</v>
      </c>
      <c r="F68" s="26" t="n">
        <v>24.941</v>
      </c>
      <c r="G68" s="36" t="n">
        <v>1.0173</v>
      </c>
      <c r="H68" s="26" t="n">
        <v>0</v>
      </c>
    </row>
    <row r="69" customFormat="false" ht="15" hidden="false" customHeight="false" outlineLevel="0" collapsed="false">
      <c r="A69" s="36" t="n">
        <v>0.6419</v>
      </c>
      <c r="B69" s="26" t="n">
        <v>21.47</v>
      </c>
      <c r="C69" s="36" t="n">
        <v>0.4207</v>
      </c>
      <c r="D69" s="26" t="n">
        <v>42.993</v>
      </c>
      <c r="E69" s="36" t="n">
        <v>0.4821</v>
      </c>
      <c r="F69" s="26" t="n">
        <v>24.933</v>
      </c>
      <c r="G69" s="36" t="n">
        <v>1.0334</v>
      </c>
      <c r="H69" s="26" t="n">
        <v>0</v>
      </c>
    </row>
    <row r="70" customFormat="false" ht="15" hidden="false" customHeight="false" outlineLevel="0" collapsed="false">
      <c r="A70" s="36" t="n">
        <v>0.652</v>
      </c>
      <c r="B70" s="26" t="n">
        <v>21.47</v>
      </c>
      <c r="C70" s="36" t="n">
        <v>0.4273</v>
      </c>
      <c r="D70" s="26" t="n">
        <v>42.993</v>
      </c>
      <c r="E70" s="36" t="n">
        <v>0.4896</v>
      </c>
      <c r="F70" s="26" t="n">
        <v>24.925</v>
      </c>
      <c r="G70" s="36" t="n">
        <v>1.0496</v>
      </c>
      <c r="H70" s="26" t="n">
        <v>0</v>
      </c>
    </row>
    <row r="71" customFormat="false" ht="15" hidden="false" customHeight="false" outlineLevel="0" collapsed="false">
      <c r="A71" s="36" t="n">
        <v>0.662</v>
      </c>
      <c r="B71" s="26" t="n">
        <v>21.47</v>
      </c>
      <c r="C71" s="36" t="n">
        <v>0.4339</v>
      </c>
      <c r="D71" s="26" t="n">
        <v>42.993</v>
      </c>
      <c r="E71" s="36" t="n">
        <v>0.4972</v>
      </c>
      <c r="F71" s="26" t="n">
        <v>24.916</v>
      </c>
      <c r="G71" s="36" t="n">
        <v>1.0657</v>
      </c>
      <c r="H71" s="26" t="n">
        <v>0</v>
      </c>
    </row>
    <row r="72" customFormat="false" ht="15" hidden="false" customHeight="false" outlineLevel="0" collapsed="false">
      <c r="A72" s="36" t="n">
        <v>0.672</v>
      </c>
      <c r="B72" s="26" t="n">
        <v>21.47</v>
      </c>
      <c r="C72" s="36" t="n">
        <v>0.4405</v>
      </c>
      <c r="D72" s="26" t="n">
        <v>42.993</v>
      </c>
      <c r="E72" s="36" t="n">
        <v>0.5047</v>
      </c>
      <c r="F72" s="26" t="n">
        <v>24.906</v>
      </c>
      <c r="G72" s="36" t="n">
        <v>1.0819</v>
      </c>
      <c r="H72" s="26" t="n">
        <v>0</v>
      </c>
    </row>
    <row r="73" customFormat="false" ht="15" hidden="false" customHeight="false" outlineLevel="0" collapsed="false">
      <c r="A73" s="36" t="n">
        <v>0.6821</v>
      </c>
      <c r="B73" s="26" t="n">
        <v>21.47</v>
      </c>
      <c r="C73" s="36" t="n">
        <v>0.447</v>
      </c>
      <c r="D73" s="26" t="n">
        <v>42.992</v>
      </c>
      <c r="E73" s="36" t="n">
        <v>0.5122</v>
      </c>
      <c r="F73" s="26" t="n">
        <v>24.895</v>
      </c>
      <c r="G73" s="36" t="n">
        <v>1.098</v>
      </c>
      <c r="H73" s="26" t="n">
        <v>0</v>
      </c>
    </row>
    <row r="74" customFormat="false" ht="15" hidden="false" customHeight="false" outlineLevel="0" collapsed="false">
      <c r="A74" s="36" t="n">
        <v>0.6921</v>
      </c>
      <c r="B74" s="26" t="n">
        <v>21.47</v>
      </c>
      <c r="C74" s="36" t="n">
        <v>0.4536</v>
      </c>
      <c r="D74" s="26" t="n">
        <v>42.992</v>
      </c>
      <c r="E74" s="36" t="n">
        <v>0.5198</v>
      </c>
      <c r="F74" s="26" t="n">
        <v>24.883</v>
      </c>
      <c r="G74" s="36" t="n">
        <v>1.1142</v>
      </c>
      <c r="H74" s="26" t="n">
        <v>0</v>
      </c>
    </row>
    <row r="75" customFormat="false" ht="15" hidden="false" customHeight="false" outlineLevel="0" collapsed="false">
      <c r="A75" s="36" t="n">
        <v>0.7021</v>
      </c>
      <c r="B75" s="26" t="n">
        <v>21.47</v>
      </c>
      <c r="C75" s="36" t="n">
        <v>0.4602</v>
      </c>
      <c r="D75" s="26" t="n">
        <v>42.992</v>
      </c>
      <c r="E75" s="36" t="n">
        <v>0.5273</v>
      </c>
      <c r="F75" s="26" t="n">
        <v>24.87</v>
      </c>
      <c r="G75" s="36" t="n">
        <v>1.1303</v>
      </c>
      <c r="H75" s="26" t="n">
        <v>0</v>
      </c>
    </row>
    <row r="76" customFormat="false" ht="15" hidden="false" customHeight="false" outlineLevel="0" collapsed="false">
      <c r="A76" s="36" t="n">
        <v>0.7121</v>
      </c>
      <c r="B76" s="26" t="n">
        <v>21.47</v>
      </c>
      <c r="C76" s="36" t="n">
        <v>0.4668</v>
      </c>
      <c r="D76" s="26" t="n">
        <v>42.991</v>
      </c>
      <c r="E76" s="36" t="n">
        <v>0.5348</v>
      </c>
      <c r="F76" s="26" t="n">
        <v>24.854</v>
      </c>
      <c r="G76" s="36" t="n">
        <v>1.1465</v>
      </c>
      <c r="H76" s="26" t="n">
        <v>0</v>
      </c>
    </row>
    <row r="77" customFormat="false" ht="15" hidden="false" customHeight="false" outlineLevel="0" collapsed="false">
      <c r="A77" s="36" t="n">
        <v>0.7222</v>
      </c>
      <c r="B77" s="26" t="n">
        <v>21.469</v>
      </c>
      <c r="C77" s="36" t="n">
        <v>0.4733</v>
      </c>
      <c r="D77" s="26" t="n">
        <v>42.991</v>
      </c>
      <c r="E77" s="36" t="n">
        <v>0.5424</v>
      </c>
      <c r="F77" s="26" t="n">
        <v>24.837</v>
      </c>
      <c r="G77" s="36" t="n">
        <v>1.1626</v>
      </c>
      <c r="H77" s="26" t="n">
        <v>0</v>
      </c>
    </row>
    <row r="78" customFormat="false" ht="15" hidden="false" customHeight="false" outlineLevel="0" collapsed="false">
      <c r="A78" s="36" t="n">
        <v>0.7322</v>
      </c>
      <c r="B78" s="26" t="n">
        <v>21.469</v>
      </c>
      <c r="C78" s="36" t="n">
        <v>0.4799</v>
      </c>
      <c r="D78" s="26" t="n">
        <v>42.99</v>
      </c>
      <c r="E78" s="36" t="n">
        <v>0.5499</v>
      </c>
      <c r="F78" s="26" t="n">
        <v>24.818</v>
      </c>
      <c r="G78" s="36" t="n">
        <v>1.1788</v>
      </c>
      <c r="H78" s="26" t="n">
        <v>0</v>
      </c>
    </row>
    <row r="79" customFormat="false" ht="15" hidden="false" customHeight="false" outlineLevel="0" collapsed="false">
      <c r="A79" s="36" t="n">
        <v>0.7422</v>
      </c>
      <c r="B79" s="26" t="n">
        <v>21.469</v>
      </c>
      <c r="C79" s="36" t="n">
        <v>0.4865</v>
      </c>
      <c r="D79" s="26" t="n">
        <v>42.99</v>
      </c>
      <c r="E79" s="36" t="n">
        <v>0.5574</v>
      </c>
      <c r="F79" s="26" t="n">
        <v>24.795</v>
      </c>
      <c r="G79" s="36" t="n">
        <v>1.1949</v>
      </c>
      <c r="H79" s="26" t="n">
        <v>0</v>
      </c>
    </row>
    <row r="80" customFormat="false" ht="15" hidden="false" customHeight="false" outlineLevel="0" collapsed="false">
      <c r="A80" s="36" t="n">
        <v>0.7523</v>
      </c>
      <c r="B80" s="26" t="n">
        <v>21.468</v>
      </c>
      <c r="C80" s="36" t="n">
        <v>0.4931</v>
      </c>
      <c r="D80" s="26" t="n">
        <v>42.989</v>
      </c>
      <c r="E80" s="36" t="n">
        <v>0.565</v>
      </c>
      <c r="F80" s="26" t="n">
        <v>24.769</v>
      </c>
      <c r="G80" s="36" t="n">
        <v>1.2111</v>
      </c>
      <c r="H80" s="26" t="n">
        <v>0</v>
      </c>
    </row>
    <row r="81" customFormat="false" ht="15" hidden="false" customHeight="false" outlineLevel="0" collapsed="false">
      <c r="A81" s="36" t="n">
        <v>0.7623</v>
      </c>
      <c r="B81" s="26" t="n">
        <v>21.467</v>
      </c>
      <c r="C81" s="36" t="n">
        <v>0.4996</v>
      </c>
      <c r="D81" s="26" t="n">
        <v>42.987</v>
      </c>
      <c r="E81" s="36" t="n">
        <v>0.5725</v>
      </c>
      <c r="F81" s="26" t="n">
        <v>24.739</v>
      </c>
      <c r="G81" s="36" t="n">
        <v>1.2272</v>
      </c>
      <c r="H81" s="26" t="n">
        <v>0</v>
      </c>
    </row>
    <row r="82" customFormat="false" ht="15" hidden="false" customHeight="false" outlineLevel="0" collapsed="false">
      <c r="A82" s="36" t="n">
        <v>0.7723</v>
      </c>
      <c r="B82" s="26" t="n">
        <v>21.466</v>
      </c>
      <c r="C82" s="36" t="n">
        <v>0.5062</v>
      </c>
      <c r="D82" s="26" t="n">
        <v>42.986</v>
      </c>
      <c r="E82" s="36" t="n">
        <v>0.58</v>
      </c>
      <c r="F82" s="26" t="n">
        <v>24.704</v>
      </c>
      <c r="G82" s="36" t="n">
        <v>1.2433</v>
      </c>
      <c r="H82" s="26" t="n">
        <v>0</v>
      </c>
    </row>
    <row r="83" customFormat="false" ht="15" hidden="false" customHeight="false" outlineLevel="0" collapsed="false">
      <c r="A83" s="36" t="n">
        <v>0.7824</v>
      </c>
      <c r="B83" s="26" t="n">
        <v>21.465</v>
      </c>
      <c r="C83" s="36" t="n">
        <v>0.5128</v>
      </c>
      <c r="D83" s="26" t="n">
        <v>42.984</v>
      </c>
      <c r="E83" s="36" t="n">
        <v>0.5876</v>
      </c>
      <c r="F83" s="26" t="n">
        <v>24.662</v>
      </c>
      <c r="G83" s="36" t="n">
        <v>1.2595</v>
      </c>
      <c r="H83" s="26" t="n">
        <v>0</v>
      </c>
    </row>
    <row r="84" customFormat="false" ht="15" hidden="false" customHeight="false" outlineLevel="0" collapsed="false">
      <c r="A84" s="36" t="n">
        <v>0.7924</v>
      </c>
      <c r="B84" s="26" t="n">
        <v>21.462</v>
      </c>
      <c r="C84" s="36" t="n">
        <v>0.5193</v>
      </c>
      <c r="D84" s="26" t="n">
        <v>42.981</v>
      </c>
      <c r="E84" s="36" t="n">
        <v>0.5951</v>
      </c>
      <c r="F84" s="26" t="n">
        <v>24.613</v>
      </c>
      <c r="G84" s="36" t="n">
        <v>1.2756</v>
      </c>
      <c r="H84" s="26" t="n">
        <v>0</v>
      </c>
    </row>
    <row r="85" customFormat="false" ht="15" hidden="false" customHeight="false" outlineLevel="0" collapsed="false">
      <c r="A85" s="36" t="n">
        <v>0.8024</v>
      </c>
      <c r="B85" s="26" t="n">
        <v>21.459</v>
      </c>
      <c r="C85" s="36" t="n">
        <v>0.5259</v>
      </c>
      <c r="D85" s="26" t="n">
        <v>42.977</v>
      </c>
      <c r="E85" s="36" t="n">
        <v>0.6026</v>
      </c>
      <c r="F85" s="26" t="n">
        <v>24.555</v>
      </c>
      <c r="G85" s="36" t="n">
        <v>1.2918</v>
      </c>
      <c r="H85" s="26" t="n">
        <v>0</v>
      </c>
    </row>
    <row r="86" customFormat="false" ht="15" hidden="false" customHeight="false" outlineLevel="0" collapsed="false">
      <c r="A86" s="36" t="n">
        <v>0.8124</v>
      </c>
      <c r="B86" s="26" t="n">
        <v>21.454</v>
      </c>
      <c r="C86" s="36" t="n">
        <v>0.5325</v>
      </c>
      <c r="D86" s="26" t="n">
        <v>42.973</v>
      </c>
      <c r="E86" s="36" t="n">
        <v>0.6102</v>
      </c>
      <c r="F86" s="26" t="n">
        <v>24.486</v>
      </c>
      <c r="G86" s="36" t="n">
        <v>1.3079</v>
      </c>
      <c r="H86" s="26" t="n">
        <v>0</v>
      </c>
    </row>
    <row r="87" customFormat="false" ht="15" hidden="false" customHeight="false" outlineLevel="0" collapsed="false">
      <c r="A87" s="36" t="n">
        <v>0.8225</v>
      </c>
      <c r="B87" s="26" t="n">
        <v>21.447</v>
      </c>
      <c r="C87" s="36" t="n">
        <v>0.5391</v>
      </c>
      <c r="D87" s="26" t="n">
        <v>42.967</v>
      </c>
      <c r="E87" s="36" t="n">
        <v>0.6177</v>
      </c>
      <c r="F87" s="26" t="n">
        <v>24.404</v>
      </c>
      <c r="G87" s="36" t="n">
        <v>1.3241</v>
      </c>
      <c r="H87" s="26" t="n">
        <v>0</v>
      </c>
    </row>
    <row r="88" customFormat="false" ht="15" hidden="false" customHeight="false" outlineLevel="0" collapsed="false">
      <c r="A88" s="36" t="n">
        <v>0.8325</v>
      </c>
      <c r="B88" s="26" t="n">
        <v>21.437</v>
      </c>
      <c r="C88" s="36" t="n">
        <v>0.5456</v>
      </c>
      <c r="D88" s="26" t="n">
        <v>42.96</v>
      </c>
      <c r="E88" s="36" t="n">
        <v>0.6252</v>
      </c>
      <c r="F88" s="26" t="n">
        <v>24.307</v>
      </c>
      <c r="G88" s="36" t="n">
        <v>1.3402</v>
      </c>
      <c r="H88" s="26" t="n">
        <v>0</v>
      </c>
    </row>
    <row r="89" customFormat="false" ht="15" hidden="false" customHeight="false" outlineLevel="0" collapsed="false">
      <c r="A89" s="36" t="n">
        <v>0.8425</v>
      </c>
      <c r="B89" s="26" t="n">
        <v>21.423</v>
      </c>
      <c r="C89" s="36" t="n">
        <v>0.5522</v>
      </c>
      <c r="D89" s="26" t="n">
        <v>42.95</v>
      </c>
      <c r="E89" s="36" t="n">
        <v>0.6328</v>
      </c>
      <c r="F89" s="26" t="n">
        <v>24.192</v>
      </c>
      <c r="G89" s="36" t="n">
        <v>1.3564</v>
      </c>
      <c r="H89" s="26" t="n">
        <v>0</v>
      </c>
    </row>
    <row r="90" customFormat="false" ht="15" hidden="false" customHeight="false" outlineLevel="0" collapsed="false">
      <c r="A90" s="36" t="n">
        <v>0.8526</v>
      </c>
      <c r="B90" s="26" t="n">
        <v>21.404</v>
      </c>
      <c r="C90" s="36" t="n">
        <v>0.5588</v>
      </c>
      <c r="D90" s="26" t="n">
        <v>42.938</v>
      </c>
      <c r="E90" s="36" t="n">
        <v>0.6403</v>
      </c>
      <c r="F90" s="26" t="n">
        <v>24.056</v>
      </c>
      <c r="G90" s="36" t="n">
        <v>1.3725</v>
      </c>
      <c r="H90" s="26" t="n">
        <v>0</v>
      </c>
    </row>
    <row r="91" customFormat="false" ht="15" hidden="false" customHeight="false" outlineLevel="0" collapsed="false">
      <c r="A91" s="36" t="n">
        <v>0.8626</v>
      </c>
      <c r="B91" s="26" t="n">
        <v>21.376</v>
      </c>
      <c r="C91" s="36" t="n">
        <v>0.5654</v>
      </c>
      <c r="D91" s="26" t="n">
        <v>42.922</v>
      </c>
      <c r="E91" s="36" t="n">
        <v>0.6478</v>
      </c>
      <c r="F91" s="26" t="n">
        <v>23.894</v>
      </c>
      <c r="G91" s="36" t="n">
        <v>1.3887</v>
      </c>
      <c r="H91" s="26" t="n">
        <v>0</v>
      </c>
    </row>
    <row r="92" customFormat="false" ht="15" hidden="false" customHeight="false" outlineLevel="0" collapsed="false">
      <c r="A92" s="36" t="n">
        <v>0.8726</v>
      </c>
      <c r="B92" s="26" t="n">
        <v>21.336</v>
      </c>
      <c r="C92" s="36" t="n">
        <v>0.5719</v>
      </c>
      <c r="D92" s="26" t="n">
        <v>42.902</v>
      </c>
      <c r="E92" s="36" t="n">
        <v>0.6554</v>
      </c>
      <c r="F92" s="26" t="n">
        <v>23.703</v>
      </c>
      <c r="G92" s="36" t="n">
        <v>1.4048</v>
      </c>
      <c r="H92" s="26" t="n">
        <v>0</v>
      </c>
    </row>
    <row r="93" customFormat="false" ht="15" hidden="false" customHeight="false" outlineLevel="0" collapsed="false">
      <c r="A93" s="36" t="n">
        <v>0.8827</v>
      </c>
      <c r="B93" s="26" t="n">
        <v>21.279</v>
      </c>
      <c r="C93" s="36" t="n">
        <v>0.5785</v>
      </c>
      <c r="D93" s="26" t="n">
        <v>42.876</v>
      </c>
      <c r="E93" s="36" t="n">
        <v>0.6629</v>
      </c>
      <c r="F93" s="26" t="n">
        <v>23.479</v>
      </c>
      <c r="G93" s="36" t="n">
        <v>1.421</v>
      </c>
      <c r="H93" s="26" t="n">
        <v>0</v>
      </c>
    </row>
    <row r="94" customFormat="false" ht="15" hidden="false" customHeight="false" outlineLevel="0" collapsed="false">
      <c r="A94" s="36" t="n">
        <v>0.8927</v>
      </c>
      <c r="B94" s="26" t="n">
        <v>21.199</v>
      </c>
      <c r="C94" s="36" t="n">
        <v>0.5851</v>
      </c>
      <c r="D94" s="26" t="n">
        <v>42.842</v>
      </c>
      <c r="E94" s="36" t="n">
        <v>0.6704</v>
      </c>
      <c r="F94" s="26" t="n">
        <v>23.214</v>
      </c>
      <c r="G94" s="36" t="n">
        <v>1.4371</v>
      </c>
      <c r="H94" s="26" t="n">
        <v>0</v>
      </c>
    </row>
    <row r="95" customFormat="false" ht="15" hidden="false" customHeight="false" outlineLevel="0" collapsed="false">
      <c r="A95" s="36" t="n">
        <v>0.9027</v>
      </c>
      <c r="B95" s="26" t="n">
        <v>21.086</v>
      </c>
      <c r="C95" s="36" t="n">
        <v>0.5917</v>
      </c>
      <c r="D95" s="26" t="n">
        <v>42.798</v>
      </c>
      <c r="E95" s="36" t="n">
        <v>0.6779</v>
      </c>
      <c r="F95" s="26" t="n">
        <v>22.903</v>
      </c>
      <c r="G95" s="36" t="n">
        <v>1.4533</v>
      </c>
      <c r="H95" s="26" t="n">
        <v>0</v>
      </c>
    </row>
    <row r="96" customFormat="false" ht="15" hidden="false" customHeight="false" outlineLevel="0" collapsed="false">
      <c r="A96" s="36" t="n">
        <v>0.9127</v>
      </c>
      <c r="B96" s="26" t="n">
        <v>20.927</v>
      </c>
      <c r="C96" s="36" t="n">
        <v>0.5982</v>
      </c>
      <c r="D96" s="26" t="n">
        <v>42.743</v>
      </c>
      <c r="E96" s="36" t="n">
        <v>0.6855</v>
      </c>
      <c r="F96" s="26" t="n">
        <v>22.542</v>
      </c>
      <c r="G96" s="36" t="n">
        <v>1.4694</v>
      </c>
      <c r="H96" s="26" t="n">
        <v>0</v>
      </c>
    </row>
    <row r="97" customFormat="false" ht="15" hidden="false" customHeight="false" outlineLevel="0" collapsed="false">
      <c r="A97" s="36" t="n">
        <v>0.9228</v>
      </c>
      <c r="B97" s="26" t="n">
        <v>20.703</v>
      </c>
      <c r="C97" s="36" t="n">
        <v>0.6048</v>
      </c>
      <c r="D97" s="26" t="n">
        <v>42.671</v>
      </c>
      <c r="E97" s="36" t="n">
        <v>0.693</v>
      </c>
      <c r="F97" s="26" t="n">
        <v>22.123</v>
      </c>
      <c r="G97" s="36" t="n">
        <v>1.4856</v>
      </c>
      <c r="H97" s="26" t="n">
        <v>0</v>
      </c>
    </row>
    <row r="98" customFormat="false" ht="15" hidden="false" customHeight="false" outlineLevel="0" collapsed="false">
      <c r="A98" s="36" t="n">
        <v>0.9328</v>
      </c>
      <c r="B98" s="26" t="n">
        <v>20.391</v>
      </c>
      <c r="C98" s="36" t="n">
        <v>0.6114</v>
      </c>
      <c r="D98" s="26" t="n">
        <v>42.577</v>
      </c>
      <c r="E98" s="36" t="n">
        <v>0.7005</v>
      </c>
      <c r="F98" s="26" t="n">
        <v>21.638</v>
      </c>
      <c r="G98" s="36" t="n">
        <v>1.5017</v>
      </c>
      <c r="H98" s="26" t="n">
        <v>0</v>
      </c>
    </row>
    <row r="99" customFormat="false" ht="15" hidden="false" customHeight="false" outlineLevel="0" collapsed="false">
      <c r="A99" s="36" t="n">
        <v>0.9428</v>
      </c>
      <c r="B99" s="26" t="n">
        <v>19.957</v>
      </c>
      <c r="C99" s="36" t="n">
        <v>0.618</v>
      </c>
      <c r="D99" s="26" t="n">
        <v>42.459</v>
      </c>
      <c r="E99" s="36" t="n">
        <v>0.7081</v>
      </c>
      <c r="F99" s="26" t="n">
        <v>21.084</v>
      </c>
      <c r="G99" s="36" t="n">
        <v>1.5179</v>
      </c>
      <c r="H99" s="26" t="n">
        <v>0</v>
      </c>
    </row>
    <row r="100" customFormat="false" ht="15" hidden="false" customHeight="false" outlineLevel="0" collapsed="false">
      <c r="A100" s="36" t="n">
        <v>0.9529</v>
      </c>
      <c r="B100" s="26" t="n">
        <v>19.362</v>
      </c>
      <c r="C100" s="36" t="n">
        <v>0.6245</v>
      </c>
      <c r="D100" s="26" t="n">
        <v>42.306</v>
      </c>
      <c r="E100" s="36" t="n">
        <v>0.7156</v>
      </c>
      <c r="F100" s="26" t="n">
        <v>20.453</v>
      </c>
      <c r="G100" s="36" t="n">
        <v>1.534</v>
      </c>
      <c r="H100" s="26" t="n">
        <v>0</v>
      </c>
    </row>
    <row r="101" customFormat="false" ht="15" hidden="false" customHeight="false" outlineLevel="0" collapsed="false">
      <c r="A101" s="36" t="n">
        <v>0.9629</v>
      </c>
      <c r="B101" s="26" t="n">
        <v>18.553</v>
      </c>
      <c r="C101" s="36" t="n">
        <v>0.6311</v>
      </c>
      <c r="D101" s="26" t="n">
        <v>42.108</v>
      </c>
      <c r="E101" s="36" t="n">
        <v>0.7231</v>
      </c>
      <c r="F101" s="26" t="n">
        <v>19.737</v>
      </c>
      <c r="G101" s="36" t="n">
        <v>1.5501</v>
      </c>
      <c r="H101" s="26" t="n">
        <v>17.896</v>
      </c>
    </row>
    <row r="102" customFormat="false" ht="15" hidden="false" customHeight="false" outlineLevel="0" collapsed="false">
      <c r="A102" s="36" t="n">
        <v>0.9729</v>
      </c>
      <c r="B102" s="26" t="n">
        <v>17.471</v>
      </c>
      <c r="C102" s="36" t="n">
        <v>0.6377</v>
      </c>
      <c r="D102" s="26" t="n">
        <v>41.856</v>
      </c>
      <c r="E102" s="36" t="n">
        <v>0.7307</v>
      </c>
      <c r="F102" s="26" t="n">
        <v>18.936</v>
      </c>
      <c r="G102" s="36" t="n">
        <v>1.5663</v>
      </c>
      <c r="H102" s="26" t="n">
        <v>17.896</v>
      </c>
    </row>
    <row r="103" customFormat="false" ht="15" hidden="false" customHeight="false" outlineLevel="0" collapsed="false">
      <c r="A103" s="36" t="n">
        <v>0.983</v>
      </c>
      <c r="B103" s="26" t="n">
        <v>16.052</v>
      </c>
      <c r="C103" s="36" t="n">
        <v>0.6443</v>
      </c>
      <c r="D103" s="26" t="n">
        <v>41.534</v>
      </c>
      <c r="E103" s="36" t="n">
        <v>0.7382</v>
      </c>
      <c r="F103" s="26" t="n">
        <v>18.044</v>
      </c>
      <c r="G103" s="36" t="n">
        <v>1.5824</v>
      </c>
      <c r="H103" s="26" t="n">
        <v>17.896</v>
      </c>
    </row>
    <row r="104" customFormat="false" ht="15" hidden="false" customHeight="false" outlineLevel="0" collapsed="false">
      <c r="A104" s="36" t="n">
        <v>0.993</v>
      </c>
      <c r="B104" s="26" t="n">
        <v>14.232</v>
      </c>
      <c r="C104" s="36" t="n">
        <v>0.6508</v>
      </c>
      <c r="D104" s="26" t="n">
        <v>41.118</v>
      </c>
      <c r="E104" s="36" t="n">
        <v>0.7457</v>
      </c>
      <c r="F104" s="26" t="n">
        <v>17.054</v>
      </c>
      <c r="G104" s="36" t="n">
        <v>1.5986</v>
      </c>
      <c r="H104" s="26" t="n">
        <v>17.896</v>
      </c>
    </row>
    <row r="105" customFormat="false" ht="15" hidden="false" customHeight="false" outlineLevel="0" collapsed="false">
      <c r="A105" s="36" t="n">
        <v>1.003</v>
      </c>
      <c r="B105" s="26" t="n">
        <v>11.951</v>
      </c>
      <c r="C105" s="36" t="n">
        <v>0.6574</v>
      </c>
      <c r="D105" s="26" t="n">
        <v>40.593</v>
      </c>
      <c r="E105" s="36" t="n">
        <v>0.7533</v>
      </c>
      <c r="F105" s="26" t="n">
        <v>15.972</v>
      </c>
      <c r="G105" s="36" t="n">
        <v>1.6147</v>
      </c>
      <c r="H105" s="26" t="n">
        <v>17.896</v>
      </c>
    </row>
    <row r="106" customFormat="false" ht="15" hidden="false" customHeight="false" outlineLevel="0" collapsed="false">
      <c r="A106" s="36" t="n">
        <v>1.013</v>
      </c>
      <c r="B106" s="26" t="n">
        <v>9.169</v>
      </c>
      <c r="C106" s="36" t="n">
        <v>0.664</v>
      </c>
      <c r="D106" s="26" t="n">
        <v>39.927</v>
      </c>
      <c r="E106" s="36" t="n">
        <v>0.7608</v>
      </c>
      <c r="F106" s="26" t="n">
        <v>14.793</v>
      </c>
      <c r="G106" s="36" t="n">
        <v>1.6309</v>
      </c>
      <c r="H106" s="26" t="n">
        <v>17.896</v>
      </c>
    </row>
    <row r="107" customFormat="false" ht="15" hidden="false" customHeight="false" outlineLevel="0" collapsed="false">
      <c r="A107" s="36" t="n">
        <v>1.0231</v>
      </c>
      <c r="B107" s="26" t="n">
        <v>5.859</v>
      </c>
      <c r="C107" s="36" t="n">
        <v>0.6705</v>
      </c>
      <c r="D107" s="26" t="n">
        <v>39.075</v>
      </c>
      <c r="E107" s="36" t="n">
        <v>0.7683</v>
      </c>
      <c r="F107" s="26" t="n">
        <v>13.514</v>
      </c>
      <c r="G107" s="36" t="n">
        <v>1.647</v>
      </c>
      <c r="H107" s="26" t="n">
        <v>17.896</v>
      </c>
    </row>
    <row r="108" customFormat="false" ht="15" hidden="false" customHeight="false" outlineLevel="0" collapsed="false">
      <c r="A108" s="36" t="n">
        <v>1.0331</v>
      </c>
      <c r="B108" s="26" t="n">
        <v>2.02</v>
      </c>
      <c r="C108" s="36" t="n">
        <v>0.6771</v>
      </c>
      <c r="D108" s="26" t="n">
        <v>38.01</v>
      </c>
      <c r="E108" s="36" t="n">
        <v>0.7759</v>
      </c>
      <c r="F108" s="26" t="n">
        <v>12.143</v>
      </c>
      <c r="G108" s="36" t="n">
        <v>1.6632</v>
      </c>
      <c r="H108" s="26" t="n">
        <v>17.896</v>
      </c>
    </row>
    <row r="109" customFormat="false" ht="15" hidden="false" customHeight="false" outlineLevel="0" collapsed="false">
      <c r="A109" s="36" t="n">
        <v>1.0431</v>
      </c>
      <c r="B109" s="26" t="n">
        <v>-2.335</v>
      </c>
      <c r="C109" s="36" t="n">
        <v>0.6837</v>
      </c>
      <c r="D109" s="26" t="n">
        <v>36.68</v>
      </c>
      <c r="E109" s="36" t="n">
        <v>0.7834</v>
      </c>
      <c r="F109" s="26" t="n">
        <v>10.68</v>
      </c>
      <c r="G109" s="36" t="n">
        <v>1.6793</v>
      </c>
      <c r="H109" s="26" t="n">
        <v>17.896</v>
      </c>
    </row>
    <row r="110" customFormat="false" ht="15" hidden="false" customHeight="false" outlineLevel="0" collapsed="false">
      <c r="A110" s="36" t="n">
        <v>1.0532</v>
      </c>
      <c r="B110" s="26" t="n">
        <v>-7.178</v>
      </c>
      <c r="C110" s="36" t="n">
        <v>0.6903</v>
      </c>
      <c r="D110" s="26" t="n">
        <v>35.007</v>
      </c>
      <c r="E110" s="36" t="n">
        <v>0.7909</v>
      </c>
      <c r="F110" s="26" t="n">
        <v>9.122</v>
      </c>
      <c r="G110" s="36" t="n">
        <v>1.6955</v>
      </c>
      <c r="H110" s="26" t="n">
        <v>17.896</v>
      </c>
    </row>
    <row r="111" customFormat="false" ht="15" hidden="false" customHeight="false" outlineLevel="0" collapsed="false">
      <c r="A111" s="36" t="n">
        <v>1.0632</v>
      </c>
      <c r="B111" s="26" t="n">
        <v>-12.472</v>
      </c>
      <c r="C111" s="36" t="n">
        <v>0.6968</v>
      </c>
      <c r="D111" s="26" t="n">
        <v>32.958</v>
      </c>
      <c r="E111" s="36" t="n">
        <v>0.7985</v>
      </c>
      <c r="F111" s="26" t="n">
        <v>7.481</v>
      </c>
      <c r="G111" s="36" t="n">
        <v>1.7116</v>
      </c>
      <c r="H111" s="26" t="n">
        <v>17.896</v>
      </c>
    </row>
    <row r="112" customFormat="false" ht="15" hidden="false" customHeight="false" outlineLevel="0" collapsed="false">
      <c r="A112" s="36" t="n">
        <v>1.0732</v>
      </c>
      <c r="B112" s="26" t="n">
        <v>-18.177</v>
      </c>
      <c r="C112" s="36" t="n">
        <v>0.7034</v>
      </c>
      <c r="D112" s="26" t="n">
        <v>30.462</v>
      </c>
      <c r="E112" s="36" t="n">
        <v>0.806</v>
      </c>
      <c r="F112" s="26" t="n">
        <v>5.757</v>
      </c>
      <c r="G112" s="36" t="n">
        <v>1.7278</v>
      </c>
      <c r="H112" s="26" t="n">
        <v>17.896</v>
      </c>
    </row>
    <row r="113" customFormat="false" ht="15" hidden="false" customHeight="false" outlineLevel="0" collapsed="false">
      <c r="A113" s="36" t="n">
        <v>1.0833</v>
      </c>
      <c r="B113" s="26" t="n">
        <v>-24.252</v>
      </c>
      <c r="C113" s="36" t="n">
        <v>0.71</v>
      </c>
      <c r="D113" s="26" t="n">
        <v>27.41</v>
      </c>
      <c r="E113" s="36" t="n">
        <v>0.8135</v>
      </c>
      <c r="F113" s="26" t="n">
        <v>3.95</v>
      </c>
      <c r="G113" s="36" t="n">
        <v>1.7439</v>
      </c>
      <c r="H113" s="26" t="n">
        <v>17.896</v>
      </c>
    </row>
    <row r="114" customFormat="false" ht="15" hidden="false" customHeight="false" outlineLevel="0" collapsed="false">
      <c r="A114" s="36" t="n">
        <v>1.0933</v>
      </c>
      <c r="B114" s="26" t="n">
        <v>-30.658</v>
      </c>
      <c r="C114" s="36" t="n">
        <v>0.7166</v>
      </c>
      <c r="D114" s="26" t="n">
        <v>23.788</v>
      </c>
      <c r="E114" s="36" t="n">
        <v>0.8211</v>
      </c>
      <c r="F114" s="26" t="n">
        <v>2.071</v>
      </c>
      <c r="G114" s="36" t="n">
        <v>1.7601</v>
      </c>
      <c r="H114" s="26" t="n">
        <v>17.896</v>
      </c>
    </row>
    <row r="115" customFormat="false" ht="15" hidden="false" customHeight="false" outlineLevel="0" collapsed="false">
      <c r="A115" s="36" t="n">
        <v>1.1033</v>
      </c>
      <c r="B115" s="26" t="n">
        <v>-37.359</v>
      </c>
      <c r="C115" s="36" t="n">
        <v>0.7231</v>
      </c>
      <c r="D115" s="26" t="n">
        <v>19.527</v>
      </c>
      <c r="E115" s="36" t="n">
        <v>0.8286</v>
      </c>
      <c r="F115" s="26" t="n">
        <v>0.122</v>
      </c>
      <c r="G115" s="36" t="n">
        <v>1.7762</v>
      </c>
      <c r="H115" s="26" t="n">
        <v>17.896</v>
      </c>
    </row>
    <row r="116" customFormat="false" ht="15" hidden="false" customHeight="false" outlineLevel="0" collapsed="false">
      <c r="A116" s="36" t="n">
        <v>1.1134</v>
      </c>
      <c r="B116" s="26" t="n">
        <v>-44.321</v>
      </c>
      <c r="C116" s="36" t="n">
        <v>0.7297</v>
      </c>
      <c r="D116" s="26" t="n">
        <v>14.519</v>
      </c>
      <c r="E116" s="36" t="n">
        <v>0.8361</v>
      </c>
      <c r="F116" s="26" t="n">
        <v>-1.898</v>
      </c>
      <c r="G116" s="36" t="n">
        <v>1.7924</v>
      </c>
      <c r="H116" s="26" t="n">
        <v>17.896</v>
      </c>
    </row>
    <row r="117" customFormat="false" ht="15" hidden="false" customHeight="false" outlineLevel="0" collapsed="false">
      <c r="A117" s="36" t="n">
        <v>1.1234</v>
      </c>
      <c r="B117" s="26" t="n">
        <v>-51.517</v>
      </c>
      <c r="C117" s="36" t="n">
        <v>0.7363</v>
      </c>
      <c r="D117" s="26" t="n">
        <v>8.796</v>
      </c>
      <c r="E117" s="36" t="n">
        <v>0.8437</v>
      </c>
      <c r="F117" s="26" t="n">
        <v>-3.979</v>
      </c>
      <c r="G117" s="36" t="n">
        <v>1.8085</v>
      </c>
      <c r="H117" s="26" t="n">
        <v>17.896</v>
      </c>
    </row>
    <row r="118" customFormat="false" ht="15" hidden="false" customHeight="false" outlineLevel="0" collapsed="false">
      <c r="A118" s="36" t="n">
        <v>1.1334</v>
      </c>
      <c r="B118" s="26" t="n">
        <v>-58.92</v>
      </c>
      <c r="C118" s="36" t="n">
        <v>0.7429</v>
      </c>
      <c r="D118" s="26" t="n">
        <v>2.329</v>
      </c>
      <c r="E118" s="36" t="n">
        <v>0.8512</v>
      </c>
      <c r="F118" s="26" t="n">
        <v>-6.118</v>
      </c>
      <c r="G118" s="36" t="n">
        <v>1.8247</v>
      </c>
      <c r="H118" s="26" t="n">
        <v>17.896</v>
      </c>
    </row>
    <row r="119" customFormat="false" ht="15" hidden="false" customHeight="false" outlineLevel="0" collapsed="false">
      <c r="A119" s="36" t="n">
        <v>1.1434</v>
      </c>
      <c r="B119" s="26" t="n">
        <v>-66.509</v>
      </c>
      <c r="C119" s="36" t="n">
        <v>0.7494</v>
      </c>
      <c r="D119" s="26" t="n">
        <v>-4.963</v>
      </c>
      <c r="E119" s="36" t="n">
        <v>0.8587</v>
      </c>
      <c r="F119" s="26" t="n">
        <v>-8.316</v>
      </c>
      <c r="G119" s="36" t="n">
        <v>1.8408</v>
      </c>
      <c r="H119" s="26" t="n">
        <v>17.896</v>
      </c>
    </row>
    <row r="120" customFormat="false" ht="15" hidden="false" customHeight="false" outlineLevel="0" collapsed="false">
      <c r="A120" s="36" t="n">
        <v>1.1535</v>
      </c>
      <c r="B120" s="26" t="n">
        <v>-74.263</v>
      </c>
      <c r="C120" s="36" t="n">
        <v>0.756</v>
      </c>
      <c r="D120" s="26" t="n">
        <v>-12.989</v>
      </c>
      <c r="E120" s="36" t="n">
        <v>0.8663</v>
      </c>
      <c r="F120" s="26" t="n">
        <v>-10.565</v>
      </c>
      <c r="G120" s="36" t="n">
        <v>1.8569</v>
      </c>
      <c r="H120" s="26" t="n">
        <v>17.896</v>
      </c>
    </row>
    <row r="121" customFormat="false" ht="15" hidden="false" customHeight="false" outlineLevel="0" collapsed="false">
      <c r="A121" s="36" t="n">
        <v>1.1635</v>
      </c>
      <c r="B121" s="26" t="n">
        <v>-82.167</v>
      </c>
      <c r="C121" s="36" t="n">
        <v>0.7626</v>
      </c>
      <c r="D121" s="26" t="n">
        <v>-21.737</v>
      </c>
      <c r="E121" s="36" t="n">
        <v>0.8738</v>
      </c>
      <c r="F121" s="26" t="n">
        <v>-12.861</v>
      </c>
      <c r="G121" s="36" t="n">
        <v>1.8731</v>
      </c>
      <c r="H121" s="26" t="n">
        <v>17.896</v>
      </c>
    </row>
    <row r="122" customFormat="false" ht="15" hidden="false" customHeight="false" outlineLevel="0" collapsed="false">
      <c r="A122" s="36" t="n">
        <v>1.1735</v>
      </c>
      <c r="B122" s="26" t="n">
        <v>-90.204</v>
      </c>
      <c r="C122" s="36" t="n">
        <v>0.7692</v>
      </c>
      <c r="D122" s="26" t="n">
        <v>-31.253</v>
      </c>
      <c r="E122" s="36" t="n">
        <v>0.8813</v>
      </c>
      <c r="F122" s="26" t="n">
        <v>-15.207</v>
      </c>
      <c r="G122" s="36" t="n">
        <v>1.8892</v>
      </c>
      <c r="H122" s="26" t="n">
        <v>17.896</v>
      </c>
    </row>
    <row r="123" customFormat="false" ht="15" hidden="false" customHeight="false" outlineLevel="0" collapsed="false">
      <c r="A123" s="36" t="n">
        <v>1.1836</v>
      </c>
      <c r="B123" s="26" t="n">
        <v>-98.362</v>
      </c>
      <c r="C123" s="36" t="n">
        <v>0.7757</v>
      </c>
      <c r="D123" s="26" t="n">
        <v>-41.42</v>
      </c>
      <c r="E123" s="36" t="n">
        <v>0.8889</v>
      </c>
      <c r="F123" s="26" t="n">
        <v>-17.594</v>
      </c>
      <c r="G123" s="36" t="n">
        <v>1.9054</v>
      </c>
      <c r="H123" s="26" t="n">
        <v>17.896</v>
      </c>
    </row>
    <row r="124" customFormat="false" ht="15" hidden="false" customHeight="false" outlineLevel="0" collapsed="false">
      <c r="A124" s="36" t="n">
        <v>1.1936</v>
      </c>
      <c r="B124" s="26" t="n">
        <v>-106.629</v>
      </c>
      <c r="C124" s="36" t="n">
        <v>0.7823</v>
      </c>
      <c r="D124" s="26" t="n">
        <v>-52.203</v>
      </c>
      <c r="E124" s="36" t="n">
        <v>0.8964</v>
      </c>
      <c r="F124" s="26" t="n">
        <v>-20.021</v>
      </c>
      <c r="G124" s="36" t="n">
        <v>1.9215</v>
      </c>
      <c r="H124" s="26" t="n">
        <v>17.896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2026-07-15T06:44:18Z</dcterms:created>
  <dc:creator>openpyxl</dc:creator>
  <dc:description/>
  <dc:language>en-US</dc:language>
  <cp:lastModifiedBy/>
  <dcterms:modified xsi:type="dcterms:W3CDTF">2026-07-15T06:44:28Z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